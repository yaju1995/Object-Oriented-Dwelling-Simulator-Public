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juR\Desktop\Autonomy\Dwelling_simulator\SRC\Controller\HVAC_controller\"/>
    </mc:Choice>
  </mc:AlternateContent>
  <xr:revisionPtr revIDLastSave="0" documentId="13_ncr:1_{907F1F1E-8D06-4C62-B89E-5B4A1149B438}" xr6:coauthVersionLast="47" xr6:coauthVersionMax="47" xr10:uidLastSave="{00000000-0000-0000-0000-000000000000}"/>
  <bookViews>
    <workbookView xWindow="28680" yWindow="-120" windowWidth="19440" windowHeight="14880" firstSheet="2" activeTab="2" xr2:uid="{2F0CEAD1-91A2-44EE-9519-226D71FD8C97}"/>
  </bookViews>
  <sheets>
    <sheet name="Reward" sheetId="1" r:id="rId1"/>
    <sheet name="Reward Type 3" sheetId="3" r:id="rId2"/>
    <sheet name="Reward TYpe 4" sheetId="7" r:id="rId3"/>
    <sheet name="Reward Type 2" sheetId="4" r:id="rId4"/>
    <sheet name="Rate change" sheetId="2" r:id="rId5"/>
    <sheet name="Boundary 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7" l="1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9" i="7"/>
  <c r="O39" i="7"/>
  <c r="N39" i="7"/>
  <c r="M39" i="7"/>
  <c r="L39" i="7"/>
  <c r="O38" i="7"/>
  <c r="N38" i="7"/>
  <c r="M38" i="7"/>
  <c r="L38" i="7"/>
  <c r="O37" i="7"/>
  <c r="N37" i="7"/>
  <c r="M37" i="7"/>
  <c r="L37" i="7"/>
  <c r="O36" i="7"/>
  <c r="N36" i="7"/>
  <c r="M36" i="7"/>
  <c r="L36" i="7"/>
  <c r="O35" i="7"/>
  <c r="N35" i="7"/>
  <c r="M35" i="7"/>
  <c r="L35" i="7"/>
  <c r="O34" i="7"/>
  <c r="N34" i="7"/>
  <c r="M34" i="7"/>
  <c r="L34" i="7"/>
  <c r="O33" i="7"/>
  <c r="N33" i="7"/>
  <c r="M33" i="7"/>
  <c r="L33" i="7"/>
  <c r="O32" i="7"/>
  <c r="N32" i="7"/>
  <c r="M32" i="7"/>
  <c r="L32" i="7"/>
  <c r="O31" i="7"/>
  <c r="N31" i="7"/>
  <c r="M31" i="7"/>
  <c r="L31" i="7"/>
  <c r="O30" i="7"/>
  <c r="N30" i="7"/>
  <c r="M30" i="7"/>
  <c r="L30" i="7"/>
  <c r="O29" i="7"/>
  <c r="N29" i="7"/>
  <c r="M29" i="7"/>
  <c r="L29" i="7"/>
  <c r="O28" i="7"/>
  <c r="N28" i="7"/>
  <c r="M28" i="7"/>
  <c r="L28" i="7"/>
  <c r="O27" i="7"/>
  <c r="N27" i="7"/>
  <c r="M27" i="7"/>
  <c r="L27" i="7"/>
  <c r="D27" i="7"/>
  <c r="O26" i="7"/>
  <c r="N26" i="7"/>
  <c r="M26" i="7"/>
  <c r="L26" i="7"/>
  <c r="O25" i="7"/>
  <c r="N25" i="7"/>
  <c r="M25" i="7"/>
  <c r="L25" i="7"/>
  <c r="B25" i="7"/>
  <c r="O24" i="7"/>
  <c r="N24" i="7"/>
  <c r="M24" i="7"/>
  <c r="L24" i="7"/>
  <c r="B24" i="7"/>
  <c r="O23" i="7"/>
  <c r="N23" i="7"/>
  <c r="M23" i="7"/>
  <c r="L23" i="7"/>
  <c r="B23" i="7"/>
  <c r="O22" i="7"/>
  <c r="N22" i="7"/>
  <c r="M22" i="7"/>
  <c r="L22" i="7"/>
  <c r="B22" i="7"/>
  <c r="O21" i="7"/>
  <c r="N21" i="7"/>
  <c r="M21" i="7"/>
  <c r="L21" i="7"/>
  <c r="O20" i="7"/>
  <c r="N20" i="7"/>
  <c r="M20" i="7"/>
  <c r="L20" i="7"/>
  <c r="O19" i="7"/>
  <c r="N19" i="7"/>
  <c r="M19" i="7"/>
  <c r="L19" i="7"/>
  <c r="O18" i="7"/>
  <c r="N18" i="7"/>
  <c r="M18" i="7"/>
  <c r="L18" i="7"/>
  <c r="O17" i="7"/>
  <c r="N17" i="7"/>
  <c r="M17" i="7"/>
  <c r="L17" i="7"/>
  <c r="O16" i="7"/>
  <c r="N16" i="7"/>
  <c r="M16" i="7"/>
  <c r="L16" i="7"/>
  <c r="F16" i="7"/>
  <c r="O15" i="7"/>
  <c r="N15" i="7"/>
  <c r="M15" i="7"/>
  <c r="L15" i="7"/>
  <c r="O14" i="7"/>
  <c r="N14" i="7"/>
  <c r="M14" i="7"/>
  <c r="L14" i="7"/>
  <c r="O13" i="7"/>
  <c r="N13" i="7"/>
  <c r="M13" i="7"/>
  <c r="L13" i="7"/>
  <c r="D13" i="7"/>
  <c r="O12" i="7"/>
  <c r="N12" i="7"/>
  <c r="M12" i="7"/>
  <c r="L12" i="7"/>
  <c r="B12" i="7"/>
  <c r="O11" i="7"/>
  <c r="N11" i="7"/>
  <c r="M11" i="7"/>
  <c r="L11" i="7"/>
  <c r="B11" i="7"/>
  <c r="O10" i="7"/>
  <c r="N10" i="7"/>
  <c r="M10" i="7"/>
  <c r="L10" i="7"/>
  <c r="B10" i="7"/>
  <c r="O9" i="7"/>
  <c r="N9" i="7"/>
  <c r="M9" i="7"/>
  <c r="L9" i="7"/>
  <c r="B9" i="7"/>
  <c r="J3" i="7"/>
  <c r="I3" i="7"/>
  <c r="H3" i="7"/>
  <c r="J2" i="7"/>
  <c r="I2" i="7"/>
  <c r="H2" i="7"/>
  <c r="G2" i="7"/>
  <c r="E2" i="7"/>
  <c r="C2" i="7"/>
  <c r="J1" i="7"/>
  <c r="I1" i="7"/>
  <c r="H1" i="7"/>
  <c r="G1" i="7"/>
  <c r="G3" i="7" s="1"/>
  <c r="E1" i="7"/>
  <c r="E3" i="7" s="1"/>
  <c r="C1" i="7"/>
  <c r="B9" i="4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9" i="3"/>
  <c r="B20" i="3"/>
  <c r="B34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9" i="3"/>
  <c r="C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9" i="3"/>
  <c r="I1" i="3"/>
  <c r="J1" i="3"/>
  <c r="J3" i="3" s="1"/>
  <c r="I2" i="3"/>
  <c r="J2" i="3"/>
  <c r="D5" i="5"/>
  <c r="F5" i="5" s="1"/>
  <c r="E5" i="5"/>
  <c r="D6" i="5"/>
  <c r="E6" i="5"/>
  <c r="F6" i="5" s="1"/>
  <c r="B5" i="5"/>
  <c r="C5" i="5"/>
  <c r="B6" i="5"/>
  <c r="C6" i="5"/>
  <c r="C3" i="2"/>
  <c r="C4" i="2"/>
  <c r="C5" i="2"/>
  <c r="B3" i="2"/>
  <c r="B4" i="2"/>
  <c r="E9" i="5"/>
  <c r="D8" i="5"/>
  <c r="D9" i="5"/>
  <c r="F9" i="5" s="1"/>
  <c r="D10" i="5"/>
  <c r="D11" i="5"/>
  <c r="F11" i="5" s="1"/>
  <c r="D12" i="5"/>
  <c r="F12" i="5" s="1"/>
  <c r="C8" i="5"/>
  <c r="E8" i="5" s="1"/>
  <c r="C9" i="5"/>
  <c r="C10" i="5"/>
  <c r="E10" i="5" s="1"/>
  <c r="C11" i="5"/>
  <c r="E11" i="5" s="1"/>
  <c r="C12" i="5"/>
  <c r="E12" i="5" s="1"/>
  <c r="C13" i="5"/>
  <c r="E13" i="5" s="1"/>
  <c r="C14" i="5"/>
  <c r="E14" i="5" s="1"/>
  <c r="C15" i="5"/>
  <c r="E15" i="5" s="1"/>
  <c r="C16" i="5"/>
  <c r="E16" i="5" s="1"/>
  <c r="C7" i="5"/>
  <c r="E7" i="5" s="1"/>
  <c r="B8" i="5"/>
  <c r="B9" i="5"/>
  <c r="B10" i="5"/>
  <c r="B11" i="5"/>
  <c r="B12" i="5"/>
  <c r="B13" i="5"/>
  <c r="D13" i="5" s="1"/>
  <c r="F13" i="5" s="1"/>
  <c r="B14" i="5"/>
  <c r="D14" i="5" s="1"/>
  <c r="F14" i="5" s="1"/>
  <c r="B15" i="5"/>
  <c r="D15" i="5" s="1"/>
  <c r="B16" i="5"/>
  <c r="D16" i="5" s="1"/>
  <c r="B7" i="5"/>
  <c r="D7" i="5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5" i="2"/>
  <c r="E2" i="4"/>
  <c r="D2" i="4"/>
  <c r="C2" i="4"/>
  <c r="B2" i="4"/>
  <c r="E1" i="4"/>
  <c r="E3" i="4" s="1"/>
  <c r="D1" i="4"/>
  <c r="D3" i="4" s="1"/>
  <c r="C1" i="4"/>
  <c r="C3" i="4" s="1"/>
  <c r="B1" i="4"/>
  <c r="C39" i="4" s="1"/>
  <c r="B7" i="1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H2" i="3"/>
  <c r="G2" i="3"/>
  <c r="E2" i="3"/>
  <c r="C2" i="3"/>
  <c r="H1" i="3"/>
  <c r="G1" i="3"/>
  <c r="E1" i="3"/>
  <c r="C1" i="3"/>
  <c r="B21" i="3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7" i="1"/>
  <c r="E1" i="1"/>
  <c r="E2" i="1"/>
  <c r="E3" i="1" s="1"/>
  <c r="D1" i="1"/>
  <c r="F17" i="1" s="1"/>
  <c r="D2" i="1"/>
  <c r="C1" i="1"/>
  <c r="C2" i="1"/>
  <c r="B2" i="1"/>
  <c r="B1" i="1"/>
  <c r="C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7" i="1"/>
  <c r="B17" i="2"/>
  <c r="B18" i="2"/>
  <c r="B19" i="2"/>
  <c r="B20" i="2"/>
  <c r="B21" i="2"/>
  <c r="B6" i="2"/>
  <c r="B7" i="2"/>
  <c r="B8" i="2"/>
  <c r="B9" i="2"/>
  <c r="B10" i="2"/>
  <c r="B11" i="2"/>
  <c r="B12" i="2"/>
  <c r="B13" i="2"/>
  <c r="B14" i="2"/>
  <c r="B15" i="2"/>
  <c r="B16" i="2"/>
  <c r="D13" i="1"/>
  <c r="B8" i="1"/>
  <c r="B17" i="1"/>
  <c r="B18" i="1"/>
  <c r="D29" i="7" l="1"/>
  <c r="D15" i="7"/>
  <c r="D16" i="7"/>
  <c r="D17" i="7"/>
  <c r="D18" i="7"/>
  <c r="D19" i="7"/>
  <c r="D20" i="7"/>
  <c r="D21" i="7"/>
  <c r="D22" i="7"/>
  <c r="D23" i="7"/>
  <c r="D9" i="7"/>
  <c r="D24" i="7"/>
  <c r="D10" i="7"/>
  <c r="D25" i="7"/>
  <c r="D11" i="7"/>
  <c r="D26" i="7"/>
  <c r="D12" i="7"/>
  <c r="D30" i="7"/>
  <c r="D31" i="7"/>
  <c r="D32" i="7"/>
  <c r="D33" i="7"/>
  <c r="D34" i="7"/>
  <c r="D35" i="7"/>
  <c r="D36" i="7"/>
  <c r="D37" i="7"/>
  <c r="D38" i="7"/>
  <c r="D39" i="7"/>
  <c r="D28" i="7"/>
  <c r="F31" i="7"/>
  <c r="F17" i="7"/>
  <c r="F18" i="7"/>
  <c r="F19" i="7"/>
  <c r="F20" i="7"/>
  <c r="F21" i="7"/>
  <c r="F22" i="7"/>
  <c r="F23" i="7"/>
  <c r="F9" i="7"/>
  <c r="F24" i="7"/>
  <c r="F10" i="7"/>
  <c r="F25" i="7"/>
  <c r="F11" i="7"/>
  <c r="F26" i="7"/>
  <c r="F12" i="7"/>
  <c r="F27" i="7"/>
  <c r="F13" i="7"/>
  <c r="F28" i="7"/>
  <c r="F14" i="7"/>
  <c r="F29" i="7"/>
  <c r="F32" i="7"/>
  <c r="F33" i="7"/>
  <c r="F34" i="7"/>
  <c r="F35" i="7"/>
  <c r="F36" i="7"/>
  <c r="F37" i="7"/>
  <c r="F38" i="7"/>
  <c r="F39" i="7"/>
  <c r="F30" i="7"/>
  <c r="F15" i="7"/>
  <c r="D14" i="7"/>
  <c r="B26" i="7"/>
  <c r="B38" i="7"/>
  <c r="B37" i="7"/>
  <c r="B36" i="7"/>
  <c r="B35" i="7"/>
  <c r="B34" i="7"/>
  <c r="B33" i="7"/>
  <c r="B32" i="7"/>
  <c r="B31" i="7"/>
  <c r="B30" i="7"/>
  <c r="B29" i="7"/>
  <c r="B28" i="7"/>
  <c r="B21" i="7"/>
  <c r="B20" i="7"/>
  <c r="B19" i="7"/>
  <c r="B18" i="7"/>
  <c r="B17" i="7"/>
  <c r="B16" i="7"/>
  <c r="C3" i="7"/>
  <c r="B15" i="7"/>
  <c r="B14" i="7"/>
  <c r="B13" i="7"/>
  <c r="B27" i="7"/>
  <c r="B15" i="3"/>
  <c r="B18" i="3"/>
  <c r="B29" i="3"/>
  <c r="B14" i="3"/>
  <c r="B27" i="3"/>
  <c r="B13" i="3"/>
  <c r="B9" i="3"/>
  <c r="B26" i="3"/>
  <c r="B12" i="3"/>
  <c r="B39" i="3"/>
  <c r="B25" i="3"/>
  <c r="B11" i="3"/>
  <c r="B38" i="3"/>
  <c r="B24" i="3"/>
  <c r="B10" i="3"/>
  <c r="B33" i="3"/>
  <c r="B17" i="3"/>
  <c r="B30" i="3"/>
  <c r="B28" i="3"/>
  <c r="B37" i="3"/>
  <c r="B23" i="3"/>
  <c r="B19" i="3"/>
  <c r="B32" i="3"/>
  <c r="B31" i="3"/>
  <c r="B16" i="3"/>
  <c r="B22" i="3"/>
  <c r="B36" i="3"/>
  <c r="B35" i="3"/>
  <c r="I3" i="3"/>
  <c r="J28" i="3"/>
  <c r="J11" i="3"/>
  <c r="J15" i="3"/>
  <c r="J14" i="3"/>
  <c r="J16" i="3"/>
  <c r="J27" i="3"/>
  <c r="J13" i="3"/>
  <c r="J17" i="3"/>
  <c r="J29" i="3"/>
  <c r="J10" i="3"/>
  <c r="J9" i="3"/>
  <c r="J26" i="3"/>
  <c r="J12" i="3"/>
  <c r="J39" i="3"/>
  <c r="J25" i="3"/>
  <c r="J38" i="3"/>
  <c r="J24" i="3"/>
  <c r="J37" i="3"/>
  <c r="J23" i="3"/>
  <c r="J36" i="3"/>
  <c r="J22" i="3"/>
  <c r="J35" i="3"/>
  <c r="J21" i="3"/>
  <c r="J34" i="3"/>
  <c r="J20" i="3"/>
  <c r="J33" i="3"/>
  <c r="J19" i="3"/>
  <c r="J32" i="3"/>
  <c r="J18" i="3"/>
  <c r="J31" i="3"/>
  <c r="J30" i="3"/>
  <c r="F10" i="5"/>
  <c r="F8" i="5"/>
  <c r="F7" i="5"/>
  <c r="F16" i="5"/>
  <c r="F15" i="5"/>
  <c r="B12" i="4"/>
  <c r="C14" i="4"/>
  <c r="B26" i="4"/>
  <c r="C28" i="4"/>
  <c r="B32" i="4"/>
  <c r="C37" i="4"/>
  <c r="B10" i="4"/>
  <c r="C12" i="4"/>
  <c r="B24" i="4"/>
  <c r="C26" i="4"/>
  <c r="B38" i="4"/>
  <c r="B13" i="4"/>
  <c r="C15" i="4"/>
  <c r="B27" i="4"/>
  <c r="C29" i="4"/>
  <c r="B15" i="4"/>
  <c r="C31" i="4"/>
  <c r="B18" i="4"/>
  <c r="C34" i="4"/>
  <c r="C23" i="4"/>
  <c r="C32" i="4"/>
  <c r="C10" i="4"/>
  <c r="B22" i="4"/>
  <c r="C24" i="4"/>
  <c r="B36" i="4"/>
  <c r="C38" i="4"/>
  <c r="C17" i="4"/>
  <c r="B29" i="4"/>
  <c r="C20" i="4"/>
  <c r="C9" i="4"/>
  <c r="B21" i="4"/>
  <c r="B35" i="4"/>
  <c r="B16" i="4"/>
  <c r="C18" i="4"/>
  <c r="B30" i="4"/>
  <c r="B19" i="4"/>
  <c r="C21" i="4"/>
  <c r="B33" i="4"/>
  <c r="C35" i="4"/>
  <c r="B3" i="4"/>
  <c r="B11" i="4"/>
  <c r="C13" i="4"/>
  <c r="B25" i="4"/>
  <c r="C27" i="4"/>
  <c r="B39" i="4"/>
  <c r="B14" i="4"/>
  <c r="C16" i="4"/>
  <c r="B28" i="4"/>
  <c r="C30" i="4"/>
  <c r="B17" i="4"/>
  <c r="C19" i="4"/>
  <c r="B31" i="4"/>
  <c r="C33" i="4"/>
  <c r="B20" i="4"/>
  <c r="C22" i="4"/>
  <c r="B34" i="4"/>
  <c r="C36" i="4"/>
  <c r="C11" i="4"/>
  <c r="B23" i="4"/>
  <c r="C25" i="4"/>
  <c r="B37" i="4"/>
  <c r="H3" i="3"/>
  <c r="G3" i="3"/>
  <c r="E3" i="3"/>
  <c r="C3" i="3"/>
  <c r="F16" i="1"/>
  <c r="F21" i="1"/>
  <c r="F15" i="1"/>
  <c r="F13" i="1"/>
  <c r="F12" i="1"/>
  <c r="F10" i="1"/>
  <c r="F36" i="1"/>
  <c r="F34" i="1"/>
  <c r="F20" i="1"/>
  <c r="F14" i="1"/>
  <c r="F26" i="1"/>
  <c r="F11" i="1"/>
  <c r="F37" i="1"/>
  <c r="F9" i="1"/>
  <c r="F35" i="1"/>
  <c r="F33" i="1"/>
  <c r="F19" i="1"/>
  <c r="F29" i="1"/>
  <c r="F27" i="1"/>
  <c r="F25" i="1"/>
  <c r="F24" i="1"/>
  <c r="F8" i="1"/>
  <c r="F32" i="1"/>
  <c r="F18" i="1"/>
  <c r="F30" i="1"/>
  <c r="F28" i="1"/>
  <c r="D3" i="1"/>
  <c r="F7" i="1"/>
  <c r="F23" i="1"/>
  <c r="F22" i="1"/>
  <c r="F31" i="1"/>
  <c r="B21" i="1"/>
  <c r="B20" i="1"/>
  <c r="B19" i="1"/>
  <c r="C9" i="1"/>
  <c r="D22" i="1"/>
  <c r="B3" i="1"/>
  <c r="D12" i="1"/>
  <c r="D11" i="1"/>
  <c r="D10" i="1"/>
  <c r="D9" i="1"/>
  <c r="D8" i="1"/>
  <c r="C7" i="1"/>
  <c r="C22" i="1"/>
  <c r="C21" i="1"/>
  <c r="C20" i="1"/>
  <c r="C11" i="1"/>
  <c r="C10" i="1"/>
  <c r="B36" i="1"/>
  <c r="C37" i="1"/>
  <c r="D37" i="1"/>
  <c r="B35" i="1"/>
  <c r="D24" i="1"/>
  <c r="C8" i="1"/>
  <c r="C36" i="1"/>
  <c r="D36" i="1"/>
  <c r="B34" i="1"/>
  <c r="C35" i="1"/>
  <c r="D27" i="1"/>
  <c r="B33" i="1"/>
  <c r="C34" i="1"/>
  <c r="D26" i="1"/>
  <c r="B32" i="1"/>
  <c r="C25" i="1"/>
  <c r="D25" i="1"/>
  <c r="B31" i="1"/>
  <c r="C24" i="1"/>
  <c r="B22" i="1"/>
  <c r="C23" i="1"/>
  <c r="D23" i="1"/>
  <c r="B30" i="1"/>
  <c r="B16" i="1"/>
  <c r="C33" i="1"/>
  <c r="C19" i="1"/>
  <c r="D35" i="1"/>
  <c r="D20" i="1"/>
  <c r="D21" i="1"/>
  <c r="B29" i="1"/>
  <c r="B15" i="1"/>
  <c r="C32" i="1"/>
  <c r="C18" i="1"/>
  <c r="D34" i="1"/>
  <c r="D19" i="1"/>
  <c r="B28" i="1"/>
  <c r="B14" i="1"/>
  <c r="C31" i="1"/>
  <c r="C17" i="1"/>
  <c r="D33" i="1"/>
  <c r="D18" i="1"/>
  <c r="B27" i="1"/>
  <c r="B13" i="1"/>
  <c r="C30" i="1"/>
  <c r="C16" i="1"/>
  <c r="D32" i="1"/>
  <c r="D17" i="1"/>
  <c r="B26" i="1"/>
  <c r="B12" i="1"/>
  <c r="C29" i="1"/>
  <c r="C15" i="1"/>
  <c r="D31" i="1"/>
  <c r="D16" i="1"/>
  <c r="D7" i="1"/>
  <c r="B25" i="1"/>
  <c r="B11" i="1"/>
  <c r="C28" i="1"/>
  <c r="C14" i="1"/>
  <c r="D30" i="1"/>
  <c r="D15" i="1"/>
  <c r="B24" i="1"/>
  <c r="B10" i="1"/>
  <c r="C27" i="1"/>
  <c r="C13" i="1"/>
  <c r="D29" i="1"/>
  <c r="D14" i="1"/>
  <c r="B37" i="1"/>
  <c r="B23" i="1"/>
  <c r="B9" i="1"/>
  <c r="C26" i="1"/>
  <c r="C12" i="1"/>
  <c r="D28" i="1"/>
  <c r="E10" i="3" l="1"/>
  <c r="E24" i="3"/>
  <c r="E38" i="3"/>
  <c r="E19" i="3"/>
  <c r="E34" i="3"/>
  <c r="E36" i="3"/>
  <c r="E11" i="3"/>
  <c r="E25" i="3"/>
  <c r="E39" i="3"/>
  <c r="E37" i="3"/>
  <c r="E12" i="3"/>
  <c r="E26" i="3"/>
  <c r="E9" i="3"/>
  <c r="E30" i="3"/>
  <c r="E35" i="3"/>
  <c r="E13" i="3"/>
  <c r="E27" i="3"/>
  <c r="E14" i="3"/>
  <c r="E28" i="3"/>
  <c r="E15" i="3"/>
  <c r="E29" i="3"/>
  <c r="E16" i="3"/>
  <c r="E17" i="3"/>
  <c r="E31" i="3"/>
  <c r="E33" i="3"/>
  <c r="E20" i="3"/>
  <c r="E21" i="3"/>
  <c r="E22" i="3"/>
  <c r="E23" i="3"/>
  <c r="E18" i="3"/>
  <c r="E32" i="3"/>
  <c r="F20" i="3"/>
  <c r="F34" i="3"/>
  <c r="F21" i="3"/>
  <c r="F35" i="3"/>
  <c r="F14" i="3"/>
  <c r="F30" i="3"/>
  <c r="F29" i="3"/>
  <c r="F22" i="3"/>
  <c r="F36" i="3"/>
  <c r="F28" i="3"/>
  <c r="F16" i="3"/>
  <c r="F23" i="3"/>
  <c r="F37" i="3"/>
  <c r="F10" i="3"/>
  <c r="F24" i="3"/>
  <c r="F38" i="3"/>
  <c r="F11" i="3"/>
  <c r="F25" i="3"/>
  <c r="F39" i="3"/>
  <c r="F12" i="3"/>
  <c r="F26" i="3"/>
  <c r="F9" i="3"/>
  <c r="F13" i="3"/>
  <c r="F27" i="3"/>
  <c r="F15" i="3"/>
  <c r="F17" i="3"/>
  <c r="F31" i="3"/>
  <c r="F18" i="3"/>
  <c r="F32" i="3"/>
  <c r="F19" i="3"/>
  <c r="F33" i="3"/>
</calcChain>
</file>

<file path=xl/sharedStrings.xml><?xml version="1.0" encoding="utf-8"?>
<sst xmlns="http://schemas.openxmlformats.org/spreadsheetml/2006/main" count="62" uniqueCount="38">
  <si>
    <t xml:space="preserve">max </t>
  </si>
  <si>
    <t xml:space="preserve">min </t>
  </si>
  <si>
    <t xml:space="preserve">tin </t>
  </si>
  <si>
    <t>state</t>
  </si>
  <si>
    <t>set point</t>
  </si>
  <si>
    <t xml:space="preserve">band </t>
  </si>
  <si>
    <t>Reward-Type 1</t>
  </si>
  <si>
    <t>Temp</t>
  </si>
  <si>
    <t xml:space="preserve">delta t </t>
  </si>
  <si>
    <t>min</t>
  </si>
  <si>
    <t>Reward-Type 2-1</t>
  </si>
  <si>
    <t>Reward-Type 2-2</t>
  </si>
  <si>
    <t>Reward-Type 2-3</t>
  </si>
  <si>
    <t>Reward type 3-1</t>
  </si>
  <si>
    <t>Reward type 3-2</t>
  </si>
  <si>
    <t>k</t>
  </si>
  <si>
    <t>Reward Type 1</t>
  </si>
  <si>
    <t>Rate-5min</t>
  </si>
  <si>
    <t>Rate-15mins</t>
  </si>
  <si>
    <t xml:space="preserve">T_ref </t>
  </si>
  <si>
    <t xml:space="preserve">Boundary </t>
  </si>
  <si>
    <t>Tmax</t>
  </si>
  <si>
    <t>Tmin</t>
  </si>
  <si>
    <t>Tmax norm</t>
  </si>
  <si>
    <t>Reward Type 3 - band_3</t>
  </si>
  <si>
    <t>Reward Type 3 - band 2</t>
  </si>
  <si>
    <t>Reward Type 3 - band 1</t>
  </si>
  <si>
    <t>Reward Type 3 - band 0.75</t>
  </si>
  <si>
    <t>Reward Type 3 -0.5</t>
  </si>
  <si>
    <t>state - with band 1</t>
  </si>
  <si>
    <t>Need to be kept constant</t>
  </si>
  <si>
    <t>state - with band 2</t>
  </si>
  <si>
    <t>state - with band 3</t>
  </si>
  <si>
    <t>Reward Type 5 - band 0.75</t>
  </si>
  <si>
    <t>Reward Type 5 - band 1</t>
  </si>
  <si>
    <t>Reward Type 5 - band 2</t>
  </si>
  <si>
    <t>Reward Type 5 - band_3</t>
  </si>
  <si>
    <t>Reward Type 5 -0.5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</si>
</sst>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324864712266329E-2"/>
          <c:y val="2.2808595702148927E-2"/>
          <c:w val="0.82012535324575508"/>
          <c:h val="0.9022054327167125"/>
        </c:manualLayout>
      </c:layout>
      <c:lineChart>
        <c:grouping val="standard"/>
        <c:varyColors val="0"/>
        <c:ser>
          <c:idx val="1"/>
          <c:order val="1"/>
          <c:tx>
            <c:strRef>
              <c:f>Reward!$C$6</c:f>
              <c:strCache>
                <c:ptCount val="1"/>
                <c:pt idx="0">
                  <c:v>Reward-Type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Reward!$A$7:$A$37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Reward!$C$7:$C$37</c:f>
              <c:numCache>
                <c:formatCode>General</c:formatCode>
                <c:ptCount val="31"/>
                <c:pt idx="0">
                  <c:v>-9.375</c:v>
                </c:pt>
                <c:pt idx="1">
                  <c:v>-8.1666666666666661</c:v>
                </c:pt>
                <c:pt idx="2">
                  <c:v>-7.041666666666667</c:v>
                </c:pt>
                <c:pt idx="3">
                  <c:v>-6</c:v>
                </c:pt>
                <c:pt idx="4">
                  <c:v>-5.041666666666667</c:v>
                </c:pt>
                <c:pt idx="5">
                  <c:v>-4.166666666666667</c:v>
                </c:pt>
                <c:pt idx="6">
                  <c:v>-3.375</c:v>
                </c:pt>
                <c:pt idx="7">
                  <c:v>-2.6666666666666665</c:v>
                </c:pt>
                <c:pt idx="8">
                  <c:v>-2.0416666666666665</c:v>
                </c:pt>
                <c:pt idx="9">
                  <c:v>-1.5</c:v>
                </c:pt>
                <c:pt idx="10">
                  <c:v>-1.0416666666666667</c:v>
                </c:pt>
                <c:pt idx="11">
                  <c:v>-0.66666666666666663</c:v>
                </c:pt>
                <c:pt idx="12">
                  <c:v>-0.375</c:v>
                </c:pt>
                <c:pt idx="13">
                  <c:v>-0.16666666666666666</c:v>
                </c:pt>
                <c:pt idx="14">
                  <c:v>-4.1666666666666664E-2</c:v>
                </c:pt>
                <c:pt idx="15">
                  <c:v>0</c:v>
                </c:pt>
                <c:pt idx="16">
                  <c:v>4.1666666666666664E-2</c:v>
                </c:pt>
                <c:pt idx="17">
                  <c:v>0.16666666666666666</c:v>
                </c:pt>
                <c:pt idx="18">
                  <c:v>0.375</c:v>
                </c:pt>
                <c:pt idx="19">
                  <c:v>0.66666666666666663</c:v>
                </c:pt>
                <c:pt idx="20">
                  <c:v>1.0416666666666667</c:v>
                </c:pt>
                <c:pt idx="21">
                  <c:v>1.5</c:v>
                </c:pt>
                <c:pt idx="22">
                  <c:v>2.0416666666666665</c:v>
                </c:pt>
                <c:pt idx="23">
                  <c:v>2.6666666666666665</c:v>
                </c:pt>
                <c:pt idx="24">
                  <c:v>3.375</c:v>
                </c:pt>
                <c:pt idx="25">
                  <c:v>4.166666666666667</c:v>
                </c:pt>
                <c:pt idx="26">
                  <c:v>5.041666666666667</c:v>
                </c:pt>
                <c:pt idx="27">
                  <c:v>6</c:v>
                </c:pt>
                <c:pt idx="28">
                  <c:v>7.041666666666667</c:v>
                </c:pt>
                <c:pt idx="29">
                  <c:v>8.1666666666666661</c:v>
                </c:pt>
                <c:pt idx="30">
                  <c:v>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D-45D9-B599-F6DA584D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52223"/>
        <c:axId val="75052703"/>
      </c:lineChart>
      <c:lineChart>
        <c:grouping val="standard"/>
        <c:varyColors val="0"/>
        <c:ser>
          <c:idx val="0"/>
          <c:order val="0"/>
          <c:tx>
            <c:strRef>
              <c:f>Reward!$B$6</c:f>
              <c:strCache>
                <c:ptCount val="1"/>
                <c:pt idx="0">
                  <c:v>state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Reward!$A$7:$A$37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Reward!$B$7:$B$37</c:f>
              <c:numCache>
                <c:formatCode>General</c:formatCode>
                <c:ptCount val="31"/>
                <c:pt idx="0">
                  <c:v>-1.25</c:v>
                </c:pt>
                <c:pt idx="1">
                  <c:v>-1.1666666666666667</c:v>
                </c:pt>
                <c:pt idx="2">
                  <c:v>-1.0833333333333333</c:v>
                </c:pt>
                <c:pt idx="3">
                  <c:v>-1</c:v>
                </c:pt>
                <c:pt idx="4">
                  <c:v>-0.91666666666666663</c:v>
                </c:pt>
                <c:pt idx="5">
                  <c:v>-0.83333333333333337</c:v>
                </c:pt>
                <c:pt idx="6">
                  <c:v>-0.75</c:v>
                </c:pt>
                <c:pt idx="7">
                  <c:v>-0.66666666666666663</c:v>
                </c:pt>
                <c:pt idx="8">
                  <c:v>-0.58333333333333337</c:v>
                </c:pt>
                <c:pt idx="9">
                  <c:v>-0.5</c:v>
                </c:pt>
                <c:pt idx="10">
                  <c:v>-0.41666666666666669</c:v>
                </c:pt>
                <c:pt idx="11">
                  <c:v>-0.33333333333333331</c:v>
                </c:pt>
                <c:pt idx="12">
                  <c:v>-0.25</c:v>
                </c:pt>
                <c:pt idx="13">
                  <c:v>-0.16666666666666666</c:v>
                </c:pt>
                <c:pt idx="14">
                  <c:v>-8.3333333333333329E-2</c:v>
                </c:pt>
                <c:pt idx="15">
                  <c:v>0</c:v>
                </c:pt>
                <c:pt idx="16">
                  <c:v>8.3333333333333329E-2</c:v>
                </c:pt>
                <c:pt idx="17">
                  <c:v>0.16666666666666666</c:v>
                </c:pt>
                <c:pt idx="18">
                  <c:v>0.25</c:v>
                </c:pt>
                <c:pt idx="19">
                  <c:v>0.33333333333333331</c:v>
                </c:pt>
                <c:pt idx="20">
                  <c:v>0.41666666666666669</c:v>
                </c:pt>
                <c:pt idx="21">
                  <c:v>0.5</c:v>
                </c:pt>
                <c:pt idx="22">
                  <c:v>0.58333333333333337</c:v>
                </c:pt>
                <c:pt idx="23">
                  <c:v>0.66666666666666663</c:v>
                </c:pt>
                <c:pt idx="24">
                  <c:v>0.75</c:v>
                </c:pt>
                <c:pt idx="25">
                  <c:v>0.83333333333333337</c:v>
                </c:pt>
                <c:pt idx="26">
                  <c:v>0.91666666666666663</c:v>
                </c:pt>
                <c:pt idx="27">
                  <c:v>1</c:v>
                </c:pt>
                <c:pt idx="28">
                  <c:v>1.0833333333333333</c:v>
                </c:pt>
                <c:pt idx="29">
                  <c:v>1.1666666666666667</c:v>
                </c:pt>
                <c:pt idx="3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D-45D9-B599-F6DA584D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85199"/>
        <c:axId val="83895759"/>
      </c:lineChart>
      <c:catAx>
        <c:axId val="7505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52703"/>
        <c:crosses val="autoZero"/>
        <c:auto val="1"/>
        <c:lblAlgn val="ctr"/>
        <c:lblOffset val="100"/>
        <c:noMultiLvlLbl val="0"/>
      </c:catAx>
      <c:valAx>
        <c:axId val="750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52223"/>
        <c:crosses val="autoZero"/>
        <c:crossBetween val="between"/>
      </c:valAx>
      <c:valAx>
        <c:axId val="838957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Tin_Normalized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5199"/>
        <c:crosses val="max"/>
        <c:crossBetween val="between"/>
      </c:valAx>
      <c:catAx>
        <c:axId val="83885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895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7406497624706"/>
          <c:y val="2.2672624371095851E-2"/>
          <c:w val="0.80124735625509802"/>
          <c:h val="0.85135581689790907"/>
        </c:manualLayout>
      </c:layout>
      <c:lineChart>
        <c:grouping val="standard"/>
        <c:varyColors val="0"/>
        <c:ser>
          <c:idx val="1"/>
          <c:order val="1"/>
          <c:tx>
            <c:strRef>
              <c:f>'Reward Type 3'!$C$8</c:f>
              <c:strCache>
                <c:ptCount val="1"/>
                <c:pt idx="0">
                  <c:v>Reward Type 3 - band_3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'Reward Type 3'!$A$9:$A$39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  <c:extLst xmlns:c15="http://schemas.microsoft.com/office/drawing/2012/chart"/>
            </c:numRef>
          </c:cat>
          <c:val>
            <c:numRef>
              <c:f>'Reward Type 3'!$C$9:$C$39</c:f>
              <c:numCache>
                <c:formatCode>General</c:formatCode>
                <c:ptCount val="31"/>
                <c:pt idx="0">
                  <c:v>-5.25</c:v>
                </c:pt>
                <c:pt idx="1">
                  <c:v>-4.4444444444444455</c:v>
                </c:pt>
                <c:pt idx="2">
                  <c:v>-3.6944444444444438</c:v>
                </c:pt>
                <c:pt idx="3">
                  <c:v>-3</c:v>
                </c:pt>
                <c:pt idx="4">
                  <c:v>-2.3611111111111107</c:v>
                </c:pt>
                <c:pt idx="5">
                  <c:v>-1.7777777777777781</c:v>
                </c:pt>
                <c:pt idx="6">
                  <c:v>-1.25</c:v>
                </c:pt>
                <c:pt idx="7">
                  <c:v>-0.77777777777777768</c:v>
                </c:pt>
                <c:pt idx="8">
                  <c:v>-0.36111111111111138</c:v>
                </c:pt>
                <c:pt idx="9">
                  <c:v>0</c:v>
                </c:pt>
                <c:pt idx="10">
                  <c:v>0.30555555555555547</c:v>
                </c:pt>
                <c:pt idx="11">
                  <c:v>0.55555555555555558</c:v>
                </c:pt>
                <c:pt idx="12">
                  <c:v>0.75</c:v>
                </c:pt>
                <c:pt idx="13">
                  <c:v>0.88888888888888884</c:v>
                </c:pt>
                <c:pt idx="14">
                  <c:v>0.97222222222222221</c:v>
                </c:pt>
                <c:pt idx="15">
                  <c:v>1</c:v>
                </c:pt>
                <c:pt idx="16">
                  <c:v>0.97222222222222221</c:v>
                </c:pt>
                <c:pt idx="17">
                  <c:v>0.88888888888888884</c:v>
                </c:pt>
                <c:pt idx="18">
                  <c:v>0.75</c:v>
                </c:pt>
                <c:pt idx="19">
                  <c:v>0.55555555555555558</c:v>
                </c:pt>
                <c:pt idx="20">
                  <c:v>0.30555555555555547</c:v>
                </c:pt>
                <c:pt idx="21">
                  <c:v>0</c:v>
                </c:pt>
                <c:pt idx="22">
                  <c:v>-0.36111111111111138</c:v>
                </c:pt>
                <c:pt idx="23">
                  <c:v>-0.77777777777777768</c:v>
                </c:pt>
                <c:pt idx="24">
                  <c:v>-1.25</c:v>
                </c:pt>
                <c:pt idx="25">
                  <c:v>-1.7777777777777781</c:v>
                </c:pt>
                <c:pt idx="26">
                  <c:v>-2.3611111111111107</c:v>
                </c:pt>
                <c:pt idx="27">
                  <c:v>-3</c:v>
                </c:pt>
                <c:pt idx="28">
                  <c:v>-3.6944444444444438</c:v>
                </c:pt>
                <c:pt idx="29">
                  <c:v>-4.4444444444444455</c:v>
                </c:pt>
                <c:pt idx="30">
                  <c:v>-5.25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CBE-4BC5-9AE0-5E3686E7F472}"/>
            </c:ext>
          </c:extLst>
        </c:ser>
        <c:ser>
          <c:idx val="2"/>
          <c:order val="2"/>
          <c:tx>
            <c:strRef>
              <c:f>'Reward Type 3'!$E$8</c:f>
              <c:strCache>
                <c:ptCount val="1"/>
                <c:pt idx="0">
                  <c:v>Reward Type 3 - band 2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'Reward Type 3'!$A$9:$A$39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  <c:extLst xmlns:c15="http://schemas.microsoft.com/office/drawing/2012/chart"/>
            </c:numRef>
          </c:cat>
          <c:val>
            <c:numRef>
              <c:f>'Reward Type 3'!$E$9:$E$39</c:f>
              <c:numCache>
                <c:formatCode>General</c:formatCode>
                <c:ptCount val="31"/>
                <c:pt idx="0">
                  <c:v>-13.0625</c:v>
                </c:pt>
                <c:pt idx="1">
                  <c:v>-11.25</c:v>
                </c:pt>
                <c:pt idx="2">
                  <c:v>-9.5625</c:v>
                </c:pt>
                <c:pt idx="3">
                  <c:v>-8</c:v>
                </c:pt>
                <c:pt idx="4">
                  <c:v>-6.5625</c:v>
                </c:pt>
                <c:pt idx="5">
                  <c:v>-5.25</c:v>
                </c:pt>
                <c:pt idx="6">
                  <c:v>-4.0625</c:v>
                </c:pt>
                <c:pt idx="7">
                  <c:v>-3</c:v>
                </c:pt>
                <c:pt idx="8">
                  <c:v>-2.0625</c:v>
                </c:pt>
                <c:pt idx="9">
                  <c:v>-1.25</c:v>
                </c:pt>
                <c:pt idx="10">
                  <c:v>-0.5625</c:v>
                </c:pt>
                <c:pt idx="11">
                  <c:v>0</c:v>
                </c:pt>
                <c:pt idx="12">
                  <c:v>0.4375</c:v>
                </c:pt>
                <c:pt idx="13">
                  <c:v>0.75</c:v>
                </c:pt>
                <c:pt idx="14">
                  <c:v>0.9375</c:v>
                </c:pt>
                <c:pt idx="15">
                  <c:v>1</c:v>
                </c:pt>
                <c:pt idx="16">
                  <c:v>0.9375</c:v>
                </c:pt>
                <c:pt idx="17">
                  <c:v>0.75</c:v>
                </c:pt>
                <c:pt idx="18">
                  <c:v>0.4375</c:v>
                </c:pt>
                <c:pt idx="19">
                  <c:v>0</c:v>
                </c:pt>
                <c:pt idx="20">
                  <c:v>-0.5625</c:v>
                </c:pt>
                <c:pt idx="21">
                  <c:v>-1.25</c:v>
                </c:pt>
                <c:pt idx="22">
                  <c:v>-2.0625</c:v>
                </c:pt>
                <c:pt idx="23">
                  <c:v>-3</c:v>
                </c:pt>
                <c:pt idx="24">
                  <c:v>-4.0625</c:v>
                </c:pt>
                <c:pt idx="25">
                  <c:v>-5.25</c:v>
                </c:pt>
                <c:pt idx="26">
                  <c:v>-6.5625</c:v>
                </c:pt>
                <c:pt idx="27">
                  <c:v>-8</c:v>
                </c:pt>
                <c:pt idx="28">
                  <c:v>-9.5625</c:v>
                </c:pt>
                <c:pt idx="29">
                  <c:v>-11.25</c:v>
                </c:pt>
                <c:pt idx="30">
                  <c:v>-13.0625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CBE-4BC5-9AE0-5E3686E7F472}"/>
            </c:ext>
          </c:extLst>
        </c:ser>
        <c:ser>
          <c:idx val="3"/>
          <c:order val="3"/>
          <c:tx>
            <c:strRef>
              <c:f>'Reward Type 3'!$G$8</c:f>
              <c:strCache>
                <c:ptCount val="1"/>
                <c:pt idx="0">
                  <c:v>Reward Type 3 - band 1</c:v>
                </c:pt>
              </c:strCache>
            </c:strRef>
          </c:tx>
          <c:spPr>
            <a:ln w="2222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'Reward Type 3'!$A$9:$A$39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3'!$G$9:$G$39</c:f>
              <c:numCache>
                <c:formatCode>General</c:formatCode>
                <c:ptCount val="31"/>
                <c:pt idx="0">
                  <c:v>-55.25</c:v>
                </c:pt>
                <c:pt idx="1">
                  <c:v>-48</c:v>
                </c:pt>
                <c:pt idx="2">
                  <c:v>-41.25</c:v>
                </c:pt>
                <c:pt idx="3">
                  <c:v>-35</c:v>
                </c:pt>
                <c:pt idx="4">
                  <c:v>-29.25</c:v>
                </c:pt>
                <c:pt idx="5">
                  <c:v>-24</c:v>
                </c:pt>
                <c:pt idx="6">
                  <c:v>-19.25</c:v>
                </c:pt>
                <c:pt idx="7">
                  <c:v>-15</c:v>
                </c:pt>
                <c:pt idx="8">
                  <c:v>-11.25</c:v>
                </c:pt>
                <c:pt idx="9">
                  <c:v>-8</c:v>
                </c:pt>
                <c:pt idx="10">
                  <c:v>-5.25</c:v>
                </c:pt>
                <c:pt idx="11">
                  <c:v>-3</c:v>
                </c:pt>
                <c:pt idx="12">
                  <c:v>-1.25</c:v>
                </c:pt>
                <c:pt idx="13">
                  <c:v>0</c:v>
                </c:pt>
                <c:pt idx="14">
                  <c:v>0.75</c:v>
                </c:pt>
                <c:pt idx="15">
                  <c:v>1</c:v>
                </c:pt>
                <c:pt idx="16">
                  <c:v>0.75</c:v>
                </c:pt>
                <c:pt idx="17">
                  <c:v>0</c:v>
                </c:pt>
                <c:pt idx="18">
                  <c:v>-1.25</c:v>
                </c:pt>
                <c:pt idx="19">
                  <c:v>-3</c:v>
                </c:pt>
                <c:pt idx="20">
                  <c:v>-5.25</c:v>
                </c:pt>
                <c:pt idx="21">
                  <c:v>-8</c:v>
                </c:pt>
                <c:pt idx="22">
                  <c:v>-11.25</c:v>
                </c:pt>
                <c:pt idx="23">
                  <c:v>-15</c:v>
                </c:pt>
                <c:pt idx="24">
                  <c:v>-19.25</c:v>
                </c:pt>
                <c:pt idx="25">
                  <c:v>-24</c:v>
                </c:pt>
                <c:pt idx="26">
                  <c:v>-29.25</c:v>
                </c:pt>
                <c:pt idx="27">
                  <c:v>-35</c:v>
                </c:pt>
                <c:pt idx="28">
                  <c:v>-41.25</c:v>
                </c:pt>
                <c:pt idx="29">
                  <c:v>-48</c:v>
                </c:pt>
                <c:pt idx="30">
                  <c:v>-55.25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BE-4BC5-9AE0-5E3686E7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463871"/>
        <c:axId val="1239473471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'Reward Type 3'!$J$8</c15:sqref>
                        </c15:formulaRef>
                      </c:ext>
                    </c:extLst>
                    <c:strCache>
                      <c:ptCount val="1"/>
                      <c:pt idx="0">
                        <c:v>Reward Type 1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'Reward Type 3'!$A$9:$A$39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15</c:v>
                      </c:pt>
                      <c:pt idx="1">
                        <c:v>15.5</c:v>
                      </c:pt>
                      <c:pt idx="2">
                        <c:v>16</c:v>
                      </c:pt>
                      <c:pt idx="3">
                        <c:v>16.5</c:v>
                      </c:pt>
                      <c:pt idx="4">
                        <c:v>17</c:v>
                      </c:pt>
                      <c:pt idx="5">
                        <c:v>17.5</c:v>
                      </c:pt>
                      <c:pt idx="6">
                        <c:v>18</c:v>
                      </c:pt>
                      <c:pt idx="7">
                        <c:v>18.5</c:v>
                      </c:pt>
                      <c:pt idx="8">
                        <c:v>19</c:v>
                      </c:pt>
                      <c:pt idx="9">
                        <c:v>19.5</c:v>
                      </c:pt>
                      <c:pt idx="10">
                        <c:v>20</c:v>
                      </c:pt>
                      <c:pt idx="11">
                        <c:v>20.5</c:v>
                      </c:pt>
                      <c:pt idx="12">
                        <c:v>21</c:v>
                      </c:pt>
                      <c:pt idx="13">
                        <c:v>21.5</c:v>
                      </c:pt>
                      <c:pt idx="14">
                        <c:v>22</c:v>
                      </c:pt>
                      <c:pt idx="15">
                        <c:v>22.5</c:v>
                      </c:pt>
                      <c:pt idx="16">
                        <c:v>23</c:v>
                      </c:pt>
                      <c:pt idx="17">
                        <c:v>23.5</c:v>
                      </c:pt>
                      <c:pt idx="18">
                        <c:v>24</c:v>
                      </c:pt>
                      <c:pt idx="19">
                        <c:v>24.5</c:v>
                      </c:pt>
                      <c:pt idx="20">
                        <c:v>25</c:v>
                      </c:pt>
                      <c:pt idx="21">
                        <c:v>25.5</c:v>
                      </c:pt>
                      <c:pt idx="22">
                        <c:v>26</c:v>
                      </c:pt>
                      <c:pt idx="23">
                        <c:v>26.5</c:v>
                      </c:pt>
                      <c:pt idx="24">
                        <c:v>27</c:v>
                      </c:pt>
                      <c:pt idx="25">
                        <c:v>27.5</c:v>
                      </c:pt>
                      <c:pt idx="26">
                        <c:v>28</c:v>
                      </c:pt>
                      <c:pt idx="27">
                        <c:v>28.5</c:v>
                      </c:pt>
                      <c:pt idx="28">
                        <c:v>29</c:v>
                      </c:pt>
                      <c:pt idx="29">
                        <c:v>29.5</c:v>
                      </c:pt>
                      <c:pt idx="30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'Reward Type 3'!$J$9:$J$39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-8.375</c:v>
                      </c:pt>
                      <c:pt idx="1">
                        <c:v>-7.1666666666666661</c:v>
                      </c:pt>
                      <c:pt idx="2">
                        <c:v>-6.041666666666667</c:v>
                      </c:pt>
                      <c:pt idx="3">
                        <c:v>-5</c:v>
                      </c:pt>
                      <c:pt idx="4">
                        <c:v>-4.041666666666667</c:v>
                      </c:pt>
                      <c:pt idx="5">
                        <c:v>-3.166666666666667</c:v>
                      </c:pt>
                      <c:pt idx="6">
                        <c:v>-2.375</c:v>
                      </c:pt>
                      <c:pt idx="7">
                        <c:v>-1.6666666666666665</c:v>
                      </c:pt>
                      <c:pt idx="8">
                        <c:v>-1.0416666666666665</c:v>
                      </c:pt>
                      <c:pt idx="9">
                        <c:v>-0.5</c:v>
                      </c:pt>
                      <c:pt idx="10">
                        <c:v>-4.1666666666666741E-2</c:v>
                      </c:pt>
                      <c:pt idx="11">
                        <c:v>0.33333333333333337</c:v>
                      </c:pt>
                      <c:pt idx="12">
                        <c:v>0.625</c:v>
                      </c:pt>
                      <c:pt idx="13">
                        <c:v>0.83333333333333337</c:v>
                      </c:pt>
                      <c:pt idx="14">
                        <c:v>0.95833333333333337</c:v>
                      </c:pt>
                      <c:pt idx="15">
                        <c:v>1</c:v>
                      </c:pt>
                      <c:pt idx="16">
                        <c:v>0.95833333333333337</c:v>
                      </c:pt>
                      <c:pt idx="17">
                        <c:v>0.83333333333333337</c:v>
                      </c:pt>
                      <c:pt idx="18">
                        <c:v>0.625</c:v>
                      </c:pt>
                      <c:pt idx="19">
                        <c:v>0.33333333333333337</c:v>
                      </c:pt>
                      <c:pt idx="20">
                        <c:v>-4.1666666666666741E-2</c:v>
                      </c:pt>
                      <c:pt idx="21">
                        <c:v>-0.5</c:v>
                      </c:pt>
                      <c:pt idx="22">
                        <c:v>-1.0416666666666665</c:v>
                      </c:pt>
                      <c:pt idx="23">
                        <c:v>-1.6666666666666665</c:v>
                      </c:pt>
                      <c:pt idx="24">
                        <c:v>-2.375</c:v>
                      </c:pt>
                      <c:pt idx="25">
                        <c:v>-3.166666666666667</c:v>
                      </c:pt>
                      <c:pt idx="26">
                        <c:v>-4.041666666666667</c:v>
                      </c:pt>
                      <c:pt idx="27">
                        <c:v>-5</c:v>
                      </c:pt>
                      <c:pt idx="28">
                        <c:v>-6.041666666666667</c:v>
                      </c:pt>
                      <c:pt idx="29">
                        <c:v>-7.1666666666666661</c:v>
                      </c:pt>
                      <c:pt idx="30">
                        <c:v>-8.375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CBE-4BC5-9AE0-5E3686E7F4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3'!$H$8</c15:sqref>
                        </c15:formulaRef>
                      </c:ext>
                    </c:extLst>
                    <c:strCache>
                      <c:ptCount val="1"/>
                      <c:pt idx="0">
                        <c:v>Reward Type 3 - band 0.75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3'!$H$9:$H$39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-99</c:v>
                      </c:pt>
                      <c:pt idx="1">
                        <c:v>-86.111111111111128</c:v>
                      </c:pt>
                      <c:pt idx="2">
                        <c:v>-74.1111111111111</c:v>
                      </c:pt>
                      <c:pt idx="3">
                        <c:v>-63</c:v>
                      </c:pt>
                      <c:pt idx="4">
                        <c:v>-52.777777777777771</c:v>
                      </c:pt>
                      <c:pt idx="5">
                        <c:v>-43.44444444444445</c:v>
                      </c:pt>
                      <c:pt idx="6">
                        <c:v>-35</c:v>
                      </c:pt>
                      <c:pt idx="7">
                        <c:v>-27.444444444444443</c:v>
                      </c:pt>
                      <c:pt idx="8">
                        <c:v>-20.777777777777782</c:v>
                      </c:pt>
                      <c:pt idx="9">
                        <c:v>-15</c:v>
                      </c:pt>
                      <c:pt idx="10">
                        <c:v>-10.111111111111112</c:v>
                      </c:pt>
                      <c:pt idx="11">
                        <c:v>-6.1111111111111107</c:v>
                      </c:pt>
                      <c:pt idx="12">
                        <c:v>-3</c:v>
                      </c:pt>
                      <c:pt idx="13">
                        <c:v>-0.77777777777777768</c:v>
                      </c:pt>
                      <c:pt idx="14">
                        <c:v>0.55555555555555558</c:v>
                      </c:pt>
                      <c:pt idx="15">
                        <c:v>1</c:v>
                      </c:pt>
                      <c:pt idx="16">
                        <c:v>0.55555555555555558</c:v>
                      </c:pt>
                      <c:pt idx="17">
                        <c:v>-0.77777777777777768</c:v>
                      </c:pt>
                      <c:pt idx="18">
                        <c:v>-3</c:v>
                      </c:pt>
                      <c:pt idx="19">
                        <c:v>-6.1111111111111107</c:v>
                      </c:pt>
                      <c:pt idx="20">
                        <c:v>-10.111111111111112</c:v>
                      </c:pt>
                      <c:pt idx="21">
                        <c:v>-15</c:v>
                      </c:pt>
                      <c:pt idx="22">
                        <c:v>-20.777777777777782</c:v>
                      </c:pt>
                      <c:pt idx="23">
                        <c:v>-27.444444444444443</c:v>
                      </c:pt>
                      <c:pt idx="24">
                        <c:v>-35</c:v>
                      </c:pt>
                      <c:pt idx="25">
                        <c:v>-43.44444444444445</c:v>
                      </c:pt>
                      <c:pt idx="26">
                        <c:v>-52.777777777777771</c:v>
                      </c:pt>
                      <c:pt idx="27">
                        <c:v>-63</c:v>
                      </c:pt>
                      <c:pt idx="28">
                        <c:v>-74.1111111111111</c:v>
                      </c:pt>
                      <c:pt idx="29">
                        <c:v>-86.111111111111128</c:v>
                      </c:pt>
                      <c:pt idx="30">
                        <c:v>-99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CBE-4BC5-9AE0-5E3686E7F4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3'!$I$8</c15:sqref>
                        </c15:formulaRef>
                      </c:ext>
                    </c:extLst>
                    <c:strCache>
                      <c:ptCount val="1"/>
                      <c:pt idx="0">
                        <c:v>Reward Type 3 -0.5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'Reward Type 3'!$I$9:$I$39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-224</c:v>
                      </c:pt>
                      <c:pt idx="1">
                        <c:v>-195</c:v>
                      </c:pt>
                      <c:pt idx="2">
                        <c:v>-168</c:v>
                      </c:pt>
                      <c:pt idx="3">
                        <c:v>-143</c:v>
                      </c:pt>
                      <c:pt idx="4">
                        <c:v>-120</c:v>
                      </c:pt>
                      <c:pt idx="5">
                        <c:v>-99</c:v>
                      </c:pt>
                      <c:pt idx="6">
                        <c:v>-80</c:v>
                      </c:pt>
                      <c:pt idx="7">
                        <c:v>-63</c:v>
                      </c:pt>
                      <c:pt idx="8">
                        <c:v>-48</c:v>
                      </c:pt>
                      <c:pt idx="9">
                        <c:v>-35</c:v>
                      </c:pt>
                      <c:pt idx="10">
                        <c:v>-24</c:v>
                      </c:pt>
                      <c:pt idx="11">
                        <c:v>-15</c:v>
                      </c:pt>
                      <c:pt idx="12">
                        <c:v>-8</c:v>
                      </c:pt>
                      <c:pt idx="13">
                        <c:v>-3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-3</c:v>
                      </c:pt>
                      <c:pt idx="18">
                        <c:v>-8</c:v>
                      </c:pt>
                      <c:pt idx="19">
                        <c:v>-15</c:v>
                      </c:pt>
                      <c:pt idx="20">
                        <c:v>-24</c:v>
                      </c:pt>
                      <c:pt idx="21">
                        <c:v>-35</c:v>
                      </c:pt>
                      <c:pt idx="22">
                        <c:v>-48</c:v>
                      </c:pt>
                      <c:pt idx="23">
                        <c:v>-63</c:v>
                      </c:pt>
                      <c:pt idx="24">
                        <c:v>-80</c:v>
                      </c:pt>
                      <c:pt idx="25">
                        <c:v>-99</c:v>
                      </c:pt>
                      <c:pt idx="26">
                        <c:v>-120</c:v>
                      </c:pt>
                      <c:pt idx="27">
                        <c:v>-143</c:v>
                      </c:pt>
                      <c:pt idx="28">
                        <c:v>-168</c:v>
                      </c:pt>
                      <c:pt idx="29">
                        <c:v>-195</c:v>
                      </c:pt>
                      <c:pt idx="30">
                        <c:v>-224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CBE-4BC5-9AE0-5E3686E7F47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'Reward Type 3'!$F$8</c:f>
              <c:strCache>
                <c:ptCount val="1"/>
                <c:pt idx="0">
                  <c:v>state - with band 1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'Reward Type 3'!$A$9:$A$39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3'!$F$9:$F$39</c:f>
              <c:numCache>
                <c:formatCode>General</c:formatCode>
                <c:ptCount val="31"/>
                <c:pt idx="0">
                  <c:v>-7.5</c:v>
                </c:pt>
                <c:pt idx="1">
                  <c:v>-7</c:v>
                </c:pt>
                <c:pt idx="2">
                  <c:v>-6.5</c:v>
                </c:pt>
                <c:pt idx="3">
                  <c:v>-6</c:v>
                </c:pt>
                <c:pt idx="4">
                  <c:v>-5.5</c:v>
                </c:pt>
                <c:pt idx="5">
                  <c:v>-5</c:v>
                </c:pt>
                <c:pt idx="6">
                  <c:v>-4.5</c:v>
                </c:pt>
                <c:pt idx="7">
                  <c:v>-4</c:v>
                </c:pt>
                <c:pt idx="8">
                  <c:v>-3.5</c:v>
                </c:pt>
                <c:pt idx="9">
                  <c:v>-3</c:v>
                </c:pt>
                <c:pt idx="10">
                  <c:v>-2.5</c:v>
                </c:pt>
                <c:pt idx="11">
                  <c:v>-2</c:v>
                </c:pt>
                <c:pt idx="12">
                  <c:v>-1.5</c:v>
                </c:pt>
                <c:pt idx="13">
                  <c:v>-1</c:v>
                </c:pt>
                <c:pt idx="14">
                  <c:v>-0.5</c:v>
                </c:pt>
                <c:pt idx="15">
                  <c:v>0</c:v>
                </c:pt>
                <c:pt idx="16">
                  <c:v>0.5</c:v>
                </c:pt>
                <c:pt idx="17">
                  <c:v>1</c:v>
                </c:pt>
                <c:pt idx="18">
                  <c:v>1.5</c:v>
                </c:pt>
                <c:pt idx="19">
                  <c:v>2</c:v>
                </c:pt>
                <c:pt idx="20">
                  <c:v>2.5</c:v>
                </c:pt>
                <c:pt idx="21">
                  <c:v>3</c:v>
                </c:pt>
                <c:pt idx="22">
                  <c:v>3.5</c:v>
                </c:pt>
                <c:pt idx="23">
                  <c:v>4</c:v>
                </c:pt>
                <c:pt idx="24">
                  <c:v>4.5</c:v>
                </c:pt>
                <c:pt idx="25">
                  <c:v>5</c:v>
                </c:pt>
                <c:pt idx="26">
                  <c:v>5.5</c:v>
                </c:pt>
                <c:pt idx="27">
                  <c:v>6</c:v>
                </c:pt>
                <c:pt idx="28">
                  <c:v>6.5</c:v>
                </c:pt>
                <c:pt idx="29">
                  <c:v>7</c:v>
                </c:pt>
                <c:pt idx="3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E-4BC5-9AE0-5E3686E7F472}"/>
            </c:ext>
          </c:extLst>
        </c:ser>
        <c:ser>
          <c:idx val="7"/>
          <c:order val="7"/>
          <c:tx>
            <c:strRef>
              <c:f>'Reward Type 3'!$D$8</c:f>
              <c:strCache>
                <c:ptCount val="1"/>
                <c:pt idx="0">
                  <c:v>state - with band 2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'Reward Type 3'!$D$9:$D$39</c:f>
              <c:numCache>
                <c:formatCode>General</c:formatCode>
                <c:ptCount val="31"/>
                <c:pt idx="0">
                  <c:v>-3.75</c:v>
                </c:pt>
                <c:pt idx="1">
                  <c:v>-3.5</c:v>
                </c:pt>
                <c:pt idx="2">
                  <c:v>-3.25</c:v>
                </c:pt>
                <c:pt idx="3">
                  <c:v>-3</c:v>
                </c:pt>
                <c:pt idx="4">
                  <c:v>-2.75</c:v>
                </c:pt>
                <c:pt idx="5">
                  <c:v>-2.5</c:v>
                </c:pt>
                <c:pt idx="6">
                  <c:v>-2.25</c:v>
                </c:pt>
                <c:pt idx="7">
                  <c:v>-2</c:v>
                </c:pt>
                <c:pt idx="8">
                  <c:v>-1.75</c:v>
                </c:pt>
                <c:pt idx="9">
                  <c:v>-1.5</c:v>
                </c:pt>
                <c:pt idx="10">
                  <c:v>-1.25</c:v>
                </c:pt>
                <c:pt idx="11">
                  <c:v>-1</c:v>
                </c:pt>
                <c:pt idx="12">
                  <c:v>-0.75</c:v>
                </c:pt>
                <c:pt idx="13">
                  <c:v>-0.5</c:v>
                </c:pt>
                <c:pt idx="14">
                  <c:v>-0.25</c:v>
                </c:pt>
                <c:pt idx="15">
                  <c:v>0</c:v>
                </c:pt>
                <c:pt idx="16">
                  <c:v>0.25</c:v>
                </c:pt>
                <c:pt idx="17">
                  <c:v>0.5</c:v>
                </c:pt>
                <c:pt idx="18">
                  <c:v>0.75</c:v>
                </c:pt>
                <c:pt idx="19">
                  <c:v>1</c:v>
                </c:pt>
                <c:pt idx="20">
                  <c:v>1.25</c:v>
                </c:pt>
                <c:pt idx="21">
                  <c:v>1.5</c:v>
                </c:pt>
                <c:pt idx="22">
                  <c:v>1.75</c:v>
                </c:pt>
                <c:pt idx="23">
                  <c:v>2</c:v>
                </c:pt>
                <c:pt idx="24">
                  <c:v>2.25</c:v>
                </c:pt>
                <c:pt idx="25">
                  <c:v>2.5</c:v>
                </c:pt>
                <c:pt idx="26">
                  <c:v>2.75</c:v>
                </c:pt>
                <c:pt idx="27">
                  <c:v>3</c:v>
                </c:pt>
                <c:pt idx="28">
                  <c:v>3.25</c:v>
                </c:pt>
                <c:pt idx="29">
                  <c:v>3.5</c:v>
                </c:pt>
                <c:pt idx="30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1-464E-AFAC-2703271C06E9}"/>
            </c:ext>
          </c:extLst>
        </c:ser>
        <c:ser>
          <c:idx val="8"/>
          <c:order val="8"/>
          <c:tx>
            <c:strRef>
              <c:f>'Reward Type 3'!$B$8</c:f>
              <c:strCache>
                <c:ptCount val="1"/>
                <c:pt idx="0">
                  <c:v>state - with band 3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'Reward Type 3'!$B$9:$B$39</c:f>
              <c:numCache>
                <c:formatCode>General</c:formatCode>
                <c:ptCount val="31"/>
                <c:pt idx="0">
                  <c:v>-2.5</c:v>
                </c:pt>
                <c:pt idx="1">
                  <c:v>-2.3333333333333335</c:v>
                </c:pt>
                <c:pt idx="2">
                  <c:v>-2.1666666666666665</c:v>
                </c:pt>
                <c:pt idx="3">
                  <c:v>-2</c:v>
                </c:pt>
                <c:pt idx="4">
                  <c:v>-1.8333333333333333</c:v>
                </c:pt>
                <c:pt idx="5">
                  <c:v>-1.6666666666666667</c:v>
                </c:pt>
                <c:pt idx="6">
                  <c:v>-1.5</c:v>
                </c:pt>
                <c:pt idx="7">
                  <c:v>-1.3333333333333333</c:v>
                </c:pt>
                <c:pt idx="8">
                  <c:v>-1.1666666666666667</c:v>
                </c:pt>
                <c:pt idx="9">
                  <c:v>-1</c:v>
                </c:pt>
                <c:pt idx="10">
                  <c:v>-0.83333333333333337</c:v>
                </c:pt>
                <c:pt idx="11">
                  <c:v>-0.66666666666666663</c:v>
                </c:pt>
                <c:pt idx="12">
                  <c:v>-0.5</c:v>
                </c:pt>
                <c:pt idx="13">
                  <c:v>-0.33333333333333331</c:v>
                </c:pt>
                <c:pt idx="14">
                  <c:v>-0.16666666666666666</c:v>
                </c:pt>
                <c:pt idx="15">
                  <c:v>0</c:v>
                </c:pt>
                <c:pt idx="16">
                  <c:v>0.16666666666666666</c:v>
                </c:pt>
                <c:pt idx="17">
                  <c:v>0.33333333333333331</c:v>
                </c:pt>
                <c:pt idx="18">
                  <c:v>0.5</c:v>
                </c:pt>
                <c:pt idx="19">
                  <c:v>0.66666666666666663</c:v>
                </c:pt>
                <c:pt idx="20">
                  <c:v>0.83333333333333337</c:v>
                </c:pt>
                <c:pt idx="21">
                  <c:v>1</c:v>
                </c:pt>
                <c:pt idx="22">
                  <c:v>1.1666666666666667</c:v>
                </c:pt>
                <c:pt idx="23">
                  <c:v>1.3333333333333333</c:v>
                </c:pt>
                <c:pt idx="24">
                  <c:v>1.5</c:v>
                </c:pt>
                <c:pt idx="25">
                  <c:v>1.6666666666666667</c:v>
                </c:pt>
                <c:pt idx="26">
                  <c:v>1.8333333333333333</c:v>
                </c:pt>
                <c:pt idx="27">
                  <c:v>2</c:v>
                </c:pt>
                <c:pt idx="28">
                  <c:v>2.1666666666666665</c:v>
                </c:pt>
                <c:pt idx="29">
                  <c:v>2.3333333333333335</c:v>
                </c:pt>
                <c:pt idx="3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1-464E-AFAC-2703271C0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98671"/>
        <c:axId val="1127998191"/>
      </c:lineChart>
      <c:catAx>
        <c:axId val="123946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T_in</a:t>
                </a:r>
              </a:p>
            </c:rich>
          </c:tx>
          <c:layout>
            <c:manualLayout>
              <c:xMode val="edge"/>
              <c:yMode val="edge"/>
              <c:x val="0.46092534886094128"/>
              <c:y val="0.87943299585247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73471"/>
        <c:crosses val="autoZero"/>
        <c:auto val="1"/>
        <c:lblAlgn val="ctr"/>
        <c:lblOffset val="100"/>
        <c:noMultiLvlLbl val="0"/>
      </c:catAx>
      <c:valAx>
        <c:axId val="12394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63871"/>
        <c:crosses val="autoZero"/>
        <c:crossBetween val="between"/>
      </c:valAx>
      <c:valAx>
        <c:axId val="11279981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Normalized  T_in [state]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98671"/>
        <c:crosses val="max"/>
        <c:crossBetween val="between"/>
      </c:valAx>
      <c:catAx>
        <c:axId val="1127998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7998191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225338404246849E-2"/>
          <c:y val="0.91142535543763092"/>
          <c:w val="0.97504223622638464"/>
          <c:h val="7.130344550915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'Reward TYpe 4'!$C$8</c:f>
              <c:strCache>
                <c:ptCount val="1"/>
                <c:pt idx="0">
                  <c:v>Reward Type 5 - band_3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'Reward TYpe 4'!$A$9:$A$39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4'!$C$9:$C$39</c:f>
              <c:numCache>
                <c:formatCode>General</c:formatCode>
                <c:ptCount val="31"/>
                <c:pt idx="0">
                  <c:v>-5.25</c:v>
                </c:pt>
                <c:pt idx="1">
                  <c:v>-4.4444444444444455</c:v>
                </c:pt>
                <c:pt idx="2">
                  <c:v>-3.6944444444444438</c:v>
                </c:pt>
                <c:pt idx="3">
                  <c:v>-3</c:v>
                </c:pt>
                <c:pt idx="4">
                  <c:v>-2.3611111111111107</c:v>
                </c:pt>
                <c:pt idx="5">
                  <c:v>-1.7777777777777781</c:v>
                </c:pt>
                <c:pt idx="6">
                  <c:v>-1.25</c:v>
                </c:pt>
                <c:pt idx="7">
                  <c:v>-0.77777777777777768</c:v>
                </c:pt>
                <c:pt idx="8">
                  <c:v>-0.36111111111111138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-0.36111111111111138</c:v>
                </c:pt>
                <c:pt idx="23">
                  <c:v>-0.77777777777777768</c:v>
                </c:pt>
                <c:pt idx="24">
                  <c:v>-1.25</c:v>
                </c:pt>
                <c:pt idx="25">
                  <c:v>-1.7777777777777781</c:v>
                </c:pt>
                <c:pt idx="26">
                  <c:v>-2.3611111111111107</c:v>
                </c:pt>
                <c:pt idx="27">
                  <c:v>-3</c:v>
                </c:pt>
                <c:pt idx="28">
                  <c:v>-3.6944444444444438</c:v>
                </c:pt>
                <c:pt idx="29">
                  <c:v>-4.4444444444444455</c:v>
                </c:pt>
                <c:pt idx="30">
                  <c:v>-5.25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40-44AC-A0D1-62ADB553A23F}"/>
            </c:ext>
          </c:extLst>
        </c:ser>
        <c:ser>
          <c:idx val="3"/>
          <c:order val="3"/>
          <c:tx>
            <c:strRef>
              <c:f>'Reward TYpe 4'!$E$8</c:f>
              <c:strCache>
                <c:ptCount val="1"/>
                <c:pt idx="0">
                  <c:v>Reward Type 5 - band 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'Reward TYpe 4'!$A$9:$A$39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4'!$E$9:$E$39</c:f>
              <c:numCache>
                <c:formatCode>General</c:formatCode>
                <c:ptCount val="31"/>
                <c:pt idx="0">
                  <c:v>-13.0625</c:v>
                </c:pt>
                <c:pt idx="1">
                  <c:v>-11.25</c:v>
                </c:pt>
                <c:pt idx="2">
                  <c:v>-9.5625</c:v>
                </c:pt>
                <c:pt idx="3">
                  <c:v>-8</c:v>
                </c:pt>
                <c:pt idx="4">
                  <c:v>-6.5625</c:v>
                </c:pt>
                <c:pt idx="5">
                  <c:v>-5.25</c:v>
                </c:pt>
                <c:pt idx="6">
                  <c:v>-4.0625</c:v>
                </c:pt>
                <c:pt idx="7">
                  <c:v>-3</c:v>
                </c:pt>
                <c:pt idx="8">
                  <c:v>-2.0625</c:v>
                </c:pt>
                <c:pt idx="9">
                  <c:v>-1.25</c:v>
                </c:pt>
                <c:pt idx="10">
                  <c:v>-0.5625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-0.5625</c:v>
                </c:pt>
                <c:pt idx="21">
                  <c:v>-1.25</c:v>
                </c:pt>
                <c:pt idx="22">
                  <c:v>-2.0625</c:v>
                </c:pt>
                <c:pt idx="23">
                  <c:v>-3</c:v>
                </c:pt>
                <c:pt idx="24">
                  <c:v>-4.0625</c:v>
                </c:pt>
                <c:pt idx="25">
                  <c:v>-5.25</c:v>
                </c:pt>
                <c:pt idx="26">
                  <c:v>-6.5625</c:v>
                </c:pt>
                <c:pt idx="27">
                  <c:v>-8</c:v>
                </c:pt>
                <c:pt idx="28">
                  <c:v>-9.5625</c:v>
                </c:pt>
                <c:pt idx="29">
                  <c:v>-11.25</c:v>
                </c:pt>
                <c:pt idx="30">
                  <c:v>-13.0625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40-44AC-A0D1-62ADB553A23F}"/>
            </c:ext>
          </c:extLst>
        </c:ser>
        <c:ser>
          <c:idx val="5"/>
          <c:order val="5"/>
          <c:tx>
            <c:strRef>
              <c:f>'Reward TYpe 4'!$G$8</c:f>
              <c:strCache>
                <c:ptCount val="1"/>
                <c:pt idx="0">
                  <c:v>Reward Type 5 - band 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'Reward TYpe 4'!$A$9:$A$39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4'!$G$9:$G$39</c:f>
              <c:numCache>
                <c:formatCode>General</c:formatCode>
                <c:ptCount val="31"/>
                <c:pt idx="0">
                  <c:v>-55.25</c:v>
                </c:pt>
                <c:pt idx="1">
                  <c:v>-48</c:v>
                </c:pt>
                <c:pt idx="2">
                  <c:v>-41.25</c:v>
                </c:pt>
                <c:pt idx="3">
                  <c:v>-35</c:v>
                </c:pt>
                <c:pt idx="4">
                  <c:v>-29.25</c:v>
                </c:pt>
                <c:pt idx="5">
                  <c:v>-24</c:v>
                </c:pt>
                <c:pt idx="6">
                  <c:v>-19.25</c:v>
                </c:pt>
                <c:pt idx="7">
                  <c:v>-15</c:v>
                </c:pt>
                <c:pt idx="8">
                  <c:v>-11.25</c:v>
                </c:pt>
                <c:pt idx="9">
                  <c:v>-8</c:v>
                </c:pt>
                <c:pt idx="10">
                  <c:v>-5.25</c:v>
                </c:pt>
                <c:pt idx="11">
                  <c:v>-3</c:v>
                </c:pt>
                <c:pt idx="12">
                  <c:v>-1.25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-1.25</c:v>
                </c:pt>
                <c:pt idx="19">
                  <c:v>-3</c:v>
                </c:pt>
                <c:pt idx="20">
                  <c:v>-5.25</c:v>
                </c:pt>
                <c:pt idx="21">
                  <c:v>-8</c:v>
                </c:pt>
                <c:pt idx="22">
                  <c:v>-11.25</c:v>
                </c:pt>
                <c:pt idx="23">
                  <c:v>-15</c:v>
                </c:pt>
                <c:pt idx="24">
                  <c:v>-19.25</c:v>
                </c:pt>
                <c:pt idx="25">
                  <c:v>-24</c:v>
                </c:pt>
                <c:pt idx="26">
                  <c:v>-29.25</c:v>
                </c:pt>
                <c:pt idx="27">
                  <c:v>-35</c:v>
                </c:pt>
                <c:pt idx="28">
                  <c:v>-41.25</c:v>
                </c:pt>
                <c:pt idx="29">
                  <c:v>-48</c:v>
                </c:pt>
                <c:pt idx="30">
                  <c:v>-55.25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40-44AC-A0D1-62ADB553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353743"/>
        <c:axId val="788356623"/>
      </c:lineChart>
      <c:lineChart>
        <c:grouping val="standard"/>
        <c:varyColors val="0"/>
        <c:ser>
          <c:idx val="0"/>
          <c:order val="0"/>
          <c:tx>
            <c:strRef>
              <c:f>'Reward TYpe 4'!$B$8</c:f>
              <c:strCache>
                <c:ptCount val="1"/>
                <c:pt idx="0">
                  <c:v>state - with band 3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'Reward TYpe 4'!$A$9:$A$39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4'!$B$9:$B$39</c:f>
              <c:numCache>
                <c:formatCode>General</c:formatCode>
                <c:ptCount val="31"/>
                <c:pt idx="0">
                  <c:v>-2.5</c:v>
                </c:pt>
                <c:pt idx="1">
                  <c:v>-2.3333333333333335</c:v>
                </c:pt>
                <c:pt idx="2">
                  <c:v>-2.1666666666666665</c:v>
                </c:pt>
                <c:pt idx="3">
                  <c:v>-2</c:v>
                </c:pt>
                <c:pt idx="4">
                  <c:v>-1.8333333333333333</c:v>
                </c:pt>
                <c:pt idx="5">
                  <c:v>-1.6666666666666667</c:v>
                </c:pt>
                <c:pt idx="6">
                  <c:v>-1.5</c:v>
                </c:pt>
                <c:pt idx="7">
                  <c:v>-1.3333333333333333</c:v>
                </c:pt>
                <c:pt idx="8">
                  <c:v>-1.1666666666666667</c:v>
                </c:pt>
                <c:pt idx="9">
                  <c:v>-1</c:v>
                </c:pt>
                <c:pt idx="10">
                  <c:v>-0.83333333333333337</c:v>
                </c:pt>
                <c:pt idx="11">
                  <c:v>-0.66666666666666663</c:v>
                </c:pt>
                <c:pt idx="12">
                  <c:v>-0.5</c:v>
                </c:pt>
                <c:pt idx="13">
                  <c:v>-0.33333333333333331</c:v>
                </c:pt>
                <c:pt idx="14">
                  <c:v>-0.16666666666666666</c:v>
                </c:pt>
                <c:pt idx="15">
                  <c:v>0</c:v>
                </c:pt>
                <c:pt idx="16">
                  <c:v>0.16666666666666666</c:v>
                </c:pt>
                <c:pt idx="17">
                  <c:v>0.33333333333333331</c:v>
                </c:pt>
                <c:pt idx="18">
                  <c:v>0.5</c:v>
                </c:pt>
                <c:pt idx="19">
                  <c:v>0.66666666666666663</c:v>
                </c:pt>
                <c:pt idx="20">
                  <c:v>0.83333333333333337</c:v>
                </c:pt>
                <c:pt idx="21">
                  <c:v>1</c:v>
                </c:pt>
                <c:pt idx="22">
                  <c:v>1.1666666666666667</c:v>
                </c:pt>
                <c:pt idx="23">
                  <c:v>1.3333333333333333</c:v>
                </c:pt>
                <c:pt idx="24">
                  <c:v>1.5</c:v>
                </c:pt>
                <c:pt idx="25">
                  <c:v>1.6666666666666667</c:v>
                </c:pt>
                <c:pt idx="26">
                  <c:v>1.8333333333333333</c:v>
                </c:pt>
                <c:pt idx="27">
                  <c:v>2</c:v>
                </c:pt>
                <c:pt idx="28">
                  <c:v>2.1666666666666665</c:v>
                </c:pt>
                <c:pt idx="29">
                  <c:v>2.3333333333333335</c:v>
                </c:pt>
                <c:pt idx="3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40-44AC-A0D1-62ADB553A23F}"/>
            </c:ext>
          </c:extLst>
        </c:ser>
        <c:ser>
          <c:idx val="2"/>
          <c:order val="2"/>
          <c:tx>
            <c:strRef>
              <c:f>'Reward TYpe 4'!$D$8</c:f>
              <c:strCache>
                <c:ptCount val="1"/>
                <c:pt idx="0">
                  <c:v>state - with band 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'Reward TYpe 4'!$A$9:$A$39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4'!$D$9:$D$39</c:f>
              <c:numCache>
                <c:formatCode>General</c:formatCode>
                <c:ptCount val="31"/>
                <c:pt idx="0">
                  <c:v>-3.75</c:v>
                </c:pt>
                <c:pt idx="1">
                  <c:v>-3.5</c:v>
                </c:pt>
                <c:pt idx="2">
                  <c:v>-3.25</c:v>
                </c:pt>
                <c:pt idx="3">
                  <c:v>-3</c:v>
                </c:pt>
                <c:pt idx="4">
                  <c:v>-2.75</c:v>
                </c:pt>
                <c:pt idx="5">
                  <c:v>-2.5</c:v>
                </c:pt>
                <c:pt idx="6">
                  <c:v>-2.25</c:v>
                </c:pt>
                <c:pt idx="7">
                  <c:v>-2</c:v>
                </c:pt>
                <c:pt idx="8">
                  <c:v>-1.75</c:v>
                </c:pt>
                <c:pt idx="9">
                  <c:v>-1.5</c:v>
                </c:pt>
                <c:pt idx="10">
                  <c:v>-1.25</c:v>
                </c:pt>
                <c:pt idx="11">
                  <c:v>-1</c:v>
                </c:pt>
                <c:pt idx="12">
                  <c:v>-0.75</c:v>
                </c:pt>
                <c:pt idx="13">
                  <c:v>-0.5</c:v>
                </c:pt>
                <c:pt idx="14">
                  <c:v>-0.25</c:v>
                </c:pt>
                <c:pt idx="15">
                  <c:v>0</c:v>
                </c:pt>
                <c:pt idx="16">
                  <c:v>0.25</c:v>
                </c:pt>
                <c:pt idx="17">
                  <c:v>0.5</c:v>
                </c:pt>
                <c:pt idx="18">
                  <c:v>0.75</c:v>
                </c:pt>
                <c:pt idx="19">
                  <c:v>1</c:v>
                </c:pt>
                <c:pt idx="20">
                  <c:v>1.25</c:v>
                </c:pt>
                <c:pt idx="21">
                  <c:v>1.5</c:v>
                </c:pt>
                <c:pt idx="22">
                  <c:v>1.75</c:v>
                </c:pt>
                <c:pt idx="23">
                  <c:v>2</c:v>
                </c:pt>
                <c:pt idx="24">
                  <c:v>2.25</c:v>
                </c:pt>
                <c:pt idx="25">
                  <c:v>2.5</c:v>
                </c:pt>
                <c:pt idx="26">
                  <c:v>2.75</c:v>
                </c:pt>
                <c:pt idx="27">
                  <c:v>3</c:v>
                </c:pt>
                <c:pt idx="28">
                  <c:v>3.25</c:v>
                </c:pt>
                <c:pt idx="29">
                  <c:v>3.5</c:v>
                </c:pt>
                <c:pt idx="30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40-44AC-A0D1-62ADB553A23F}"/>
            </c:ext>
          </c:extLst>
        </c:ser>
        <c:ser>
          <c:idx val="4"/>
          <c:order val="4"/>
          <c:tx>
            <c:strRef>
              <c:f>'Reward TYpe 4'!$F$8</c:f>
              <c:strCache>
                <c:ptCount val="1"/>
                <c:pt idx="0">
                  <c:v>state - with band 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'Reward TYpe 4'!$A$9:$A$39</c:f>
              <c:numCache>
                <c:formatCode>General</c:formatCode>
                <c:ptCount val="31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  <c:pt idx="15">
                  <c:v>22.5</c:v>
                </c:pt>
                <c:pt idx="16">
                  <c:v>23</c:v>
                </c:pt>
                <c:pt idx="17">
                  <c:v>23.5</c:v>
                </c:pt>
                <c:pt idx="18">
                  <c:v>24</c:v>
                </c:pt>
                <c:pt idx="19">
                  <c:v>24.5</c:v>
                </c:pt>
                <c:pt idx="20">
                  <c:v>25</c:v>
                </c:pt>
                <c:pt idx="21">
                  <c:v>25.5</c:v>
                </c:pt>
                <c:pt idx="22">
                  <c:v>26</c:v>
                </c:pt>
                <c:pt idx="23">
                  <c:v>26.5</c:v>
                </c:pt>
                <c:pt idx="24">
                  <c:v>27</c:v>
                </c:pt>
                <c:pt idx="25">
                  <c:v>27.5</c:v>
                </c:pt>
                <c:pt idx="26">
                  <c:v>28</c:v>
                </c:pt>
                <c:pt idx="27">
                  <c:v>28.5</c:v>
                </c:pt>
                <c:pt idx="28">
                  <c:v>29</c:v>
                </c:pt>
                <c:pt idx="29">
                  <c:v>29.5</c:v>
                </c:pt>
                <c:pt idx="30">
                  <c:v>30</c:v>
                </c:pt>
              </c:numCache>
            </c:numRef>
          </c:cat>
          <c:val>
            <c:numRef>
              <c:f>'Reward TYpe 4'!$F$9:$F$39</c:f>
              <c:numCache>
                <c:formatCode>General</c:formatCode>
                <c:ptCount val="31"/>
                <c:pt idx="0">
                  <c:v>-7.5</c:v>
                </c:pt>
                <c:pt idx="1">
                  <c:v>-7</c:v>
                </c:pt>
                <c:pt idx="2">
                  <c:v>-6.5</c:v>
                </c:pt>
                <c:pt idx="3">
                  <c:v>-6</c:v>
                </c:pt>
                <c:pt idx="4">
                  <c:v>-5.5</c:v>
                </c:pt>
                <c:pt idx="5">
                  <c:v>-5</c:v>
                </c:pt>
                <c:pt idx="6">
                  <c:v>-4.5</c:v>
                </c:pt>
                <c:pt idx="7">
                  <c:v>-4</c:v>
                </c:pt>
                <c:pt idx="8">
                  <c:v>-3.5</c:v>
                </c:pt>
                <c:pt idx="9">
                  <c:v>-3</c:v>
                </c:pt>
                <c:pt idx="10">
                  <c:v>-2.5</c:v>
                </c:pt>
                <c:pt idx="11">
                  <c:v>-2</c:v>
                </c:pt>
                <c:pt idx="12">
                  <c:v>-1.5</c:v>
                </c:pt>
                <c:pt idx="13">
                  <c:v>-1</c:v>
                </c:pt>
                <c:pt idx="14">
                  <c:v>-0.5</c:v>
                </c:pt>
                <c:pt idx="15">
                  <c:v>0</c:v>
                </c:pt>
                <c:pt idx="16">
                  <c:v>0.5</c:v>
                </c:pt>
                <c:pt idx="17">
                  <c:v>1</c:v>
                </c:pt>
                <c:pt idx="18">
                  <c:v>1.5</c:v>
                </c:pt>
                <c:pt idx="19">
                  <c:v>2</c:v>
                </c:pt>
                <c:pt idx="20">
                  <c:v>2.5</c:v>
                </c:pt>
                <c:pt idx="21">
                  <c:v>3</c:v>
                </c:pt>
                <c:pt idx="22">
                  <c:v>3.5</c:v>
                </c:pt>
                <c:pt idx="23">
                  <c:v>4</c:v>
                </c:pt>
                <c:pt idx="24">
                  <c:v>4.5</c:v>
                </c:pt>
                <c:pt idx="25">
                  <c:v>5</c:v>
                </c:pt>
                <c:pt idx="26">
                  <c:v>5.5</c:v>
                </c:pt>
                <c:pt idx="27">
                  <c:v>6</c:v>
                </c:pt>
                <c:pt idx="28">
                  <c:v>6.5</c:v>
                </c:pt>
                <c:pt idx="29">
                  <c:v>7</c:v>
                </c:pt>
                <c:pt idx="3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40-44AC-A0D1-62ADB553A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625343"/>
        <c:axId val="696624863"/>
      </c:lineChart>
      <c:catAx>
        <c:axId val="78835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T_in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56623"/>
        <c:crosses val="autoZero"/>
        <c:auto val="1"/>
        <c:lblAlgn val="ctr"/>
        <c:lblOffset val="100"/>
        <c:noMultiLvlLbl val="0"/>
      </c:catAx>
      <c:valAx>
        <c:axId val="7883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353743"/>
        <c:crosses val="autoZero"/>
        <c:crossBetween val="between"/>
      </c:valAx>
      <c:valAx>
        <c:axId val="6966248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Normalized T_in [state]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25343"/>
        <c:crosses val="max"/>
        <c:crossBetween val="between"/>
      </c:valAx>
      <c:catAx>
        <c:axId val="696625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6624863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539370078740154E-2"/>
          <c:y val="5.0925925925925923E-2"/>
          <c:w val="0.86457174103237089"/>
          <c:h val="0.799429133858267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'Rate change'!$B$2</c:f>
              <c:strCache>
                <c:ptCount val="1"/>
                <c:pt idx="0">
                  <c:v>Rate-5min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'Rate change'!$A$3:$A$21</c:f>
              <c:numCache>
                <c:formatCode>General</c:formatCode>
                <c:ptCount val="19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</c:numCache>
            </c:numRef>
          </c:xVal>
          <c:yVal>
            <c:numRef>
              <c:f>'Rate change'!$B$3:$B$21</c:f>
              <c:numCache>
                <c:formatCode>General</c:formatCode>
                <c:ptCount val="19"/>
                <c:pt idx="0">
                  <c:v>0.02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1.1000000000000001</c:v>
                </c:pt>
                <c:pt idx="13">
                  <c:v>1.2</c:v>
                </c:pt>
                <c:pt idx="14">
                  <c:v>1.3</c:v>
                </c:pt>
                <c:pt idx="15">
                  <c:v>1.4</c:v>
                </c:pt>
                <c:pt idx="16">
                  <c:v>1.5</c:v>
                </c:pt>
                <c:pt idx="17">
                  <c:v>1.6</c:v>
                </c:pt>
                <c:pt idx="18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A-4B82-A322-4F2912A0DF9C}"/>
            </c:ext>
          </c:extLst>
        </c:ser>
        <c:ser>
          <c:idx val="1"/>
          <c:order val="1"/>
          <c:tx>
            <c:strRef>
              <c:f>'Rate change'!$C$2</c:f>
              <c:strCache>
                <c:ptCount val="1"/>
                <c:pt idx="0">
                  <c:v>Rate-15mins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'Rate change'!$A$3:$A$21</c:f>
              <c:numCache>
                <c:formatCode>General</c:formatCode>
                <c:ptCount val="19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4.5</c:v>
                </c:pt>
                <c:pt idx="11">
                  <c:v>5</c:v>
                </c:pt>
                <c:pt idx="12">
                  <c:v>5.5</c:v>
                </c:pt>
                <c:pt idx="13">
                  <c:v>6</c:v>
                </c:pt>
                <c:pt idx="14">
                  <c:v>6.5</c:v>
                </c:pt>
                <c:pt idx="15">
                  <c:v>7</c:v>
                </c:pt>
                <c:pt idx="16">
                  <c:v>7.5</c:v>
                </c:pt>
                <c:pt idx="17">
                  <c:v>8</c:v>
                </c:pt>
                <c:pt idx="18">
                  <c:v>8.5</c:v>
                </c:pt>
              </c:numCache>
            </c:numRef>
          </c:xVal>
          <c:yVal>
            <c:numRef>
              <c:f>'Rate change'!$C$3:$C$21</c:f>
              <c:numCache>
                <c:formatCode>General</c:formatCode>
                <c:ptCount val="19"/>
                <c:pt idx="0">
                  <c:v>6.6666666666666671E-3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6.6666666666666666E-2</c:v>
                </c:pt>
                <c:pt idx="4">
                  <c:v>0.1</c:v>
                </c:pt>
                <c:pt idx="5">
                  <c:v>0.13333333333333333</c:v>
                </c:pt>
                <c:pt idx="6">
                  <c:v>0.16666666666666666</c:v>
                </c:pt>
                <c:pt idx="7">
                  <c:v>0.2</c:v>
                </c:pt>
                <c:pt idx="8">
                  <c:v>0.23333333333333334</c:v>
                </c:pt>
                <c:pt idx="9">
                  <c:v>0.26666666666666666</c:v>
                </c:pt>
                <c:pt idx="10">
                  <c:v>0.3</c:v>
                </c:pt>
                <c:pt idx="11">
                  <c:v>0.33333333333333331</c:v>
                </c:pt>
                <c:pt idx="12">
                  <c:v>0.36666666666666664</c:v>
                </c:pt>
                <c:pt idx="13">
                  <c:v>0.4</c:v>
                </c:pt>
                <c:pt idx="14">
                  <c:v>0.43333333333333335</c:v>
                </c:pt>
                <c:pt idx="15">
                  <c:v>0.46666666666666667</c:v>
                </c:pt>
                <c:pt idx="16">
                  <c:v>0.5</c:v>
                </c:pt>
                <c:pt idx="17">
                  <c:v>0.53333333333333333</c:v>
                </c:pt>
                <c:pt idx="18">
                  <c:v>0.56666666666666665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5-49DA-BAE8-16C437B6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88079"/>
        <c:axId val="83909199"/>
      </c:scatterChart>
      <c:valAx>
        <c:axId val="838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en-IE"/>
                  <a:t> 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9199"/>
        <c:crosses val="autoZero"/>
        <c:crossBetween val="midCat"/>
      </c:valAx>
      <c:valAx>
        <c:axId val="8390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Rate</a:t>
                </a:r>
                <a:r>
                  <a:rPr lang="en-IE" baseline="0"/>
                  <a:t> of change </a:t>
                </a:r>
                <a:r>
                  <a:rPr lang="en-IE" sz="1000" b="0" i="0" u="none" strike="noStrike" baseline="0">
                    <a:effectLst/>
                  </a:rPr>
                  <a:t>°C/min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123824</xdr:rowOff>
    </xdr:from>
    <xdr:to>
      <xdr:col>22</xdr:col>
      <xdr:colOff>561974</xdr:colOff>
      <xdr:row>35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169A8B-CA2E-5DF5-C50B-25709DE36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3</xdr:row>
      <xdr:rowOff>85725</xdr:rowOff>
    </xdr:from>
    <xdr:to>
      <xdr:col>27</xdr:col>
      <xdr:colOff>523874</xdr:colOff>
      <xdr:row>37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D66956-F089-0910-F11B-0505850F7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847725</xdr:colOff>
      <xdr:row>41</xdr:row>
      <xdr:rowOff>76200</xdr:rowOff>
    </xdr:from>
    <xdr:to>
      <xdr:col>8</xdr:col>
      <xdr:colOff>76200</xdr:colOff>
      <xdr:row>69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03F8F-FFB5-3498-E58D-3869EF984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452437</xdr:colOff>
      <xdr:row>5</xdr:row>
      <xdr:rowOff>4762</xdr:rowOff>
    </xdr:from>
    <xdr:to>
      <xdr:col>12</xdr:col>
      <xdr:colOff>147637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1A6A2-5992-9471-D888-ECF9E8516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2016-F883-43CE-A6F9-A6E9AB89863C}">
  <dimension ref="A1:I37"/>
  <sheetViews>
    <sheetView workbookViewId="0">
      <selection activeCell="E7" sqref="E7"/>
    </sheetView>
  </sheetViews>
  <sheetFormatPr defaultRowHeight="15" x14ac:dyDescent="0.25"/>
  <cols>
    <col min="3" max="3" width="15.28515625" customWidth="1"/>
  </cols>
  <sheetData>
    <row r="1" spans="1:9" x14ac:dyDescent="0.25">
      <c r="A1" t="s">
        <v>0</v>
      </c>
      <c r="B1">
        <f>$B$5+B4</f>
        <v>25.5</v>
      </c>
      <c r="C1">
        <f>$B$5+C4</f>
        <v>24.5</v>
      </c>
      <c r="D1">
        <f>$B$5+D4</f>
        <v>23.5</v>
      </c>
      <c r="E1">
        <f>$B$5+E4</f>
        <v>23</v>
      </c>
    </row>
    <row r="2" spans="1:9" x14ac:dyDescent="0.25">
      <c r="A2" t="s">
        <v>1</v>
      </c>
      <c r="B2">
        <f>$B$5-B4</f>
        <v>19.5</v>
      </c>
      <c r="C2">
        <f>$B$5-C4</f>
        <v>20.5</v>
      </c>
      <c r="D2">
        <f>$B$5-D4</f>
        <v>21.5</v>
      </c>
      <c r="E2">
        <f>$B$5-E4</f>
        <v>22</v>
      </c>
    </row>
    <row r="3" spans="1:9" x14ac:dyDescent="0.25">
      <c r="B3">
        <f>AVERAGE(B1:B2)</f>
        <v>22.5</v>
      </c>
      <c r="C3">
        <f>AVERAGE(C1:C2)</f>
        <v>22.5</v>
      </c>
      <c r="D3">
        <f>AVERAGE(D1:D2)</f>
        <v>22.5</v>
      </c>
      <c r="E3">
        <f>AVERAGE(E1:E2)</f>
        <v>22.5</v>
      </c>
    </row>
    <row r="4" spans="1:9" x14ac:dyDescent="0.25">
      <c r="A4" t="s">
        <v>5</v>
      </c>
      <c r="B4">
        <v>3</v>
      </c>
      <c r="C4">
        <v>2</v>
      </c>
      <c r="D4">
        <v>1</v>
      </c>
      <c r="E4">
        <v>0.5</v>
      </c>
    </row>
    <row r="5" spans="1:9" x14ac:dyDescent="0.25">
      <c r="A5" t="s">
        <v>4</v>
      </c>
      <c r="B5">
        <v>22.5</v>
      </c>
    </row>
    <row r="6" spans="1:9" x14ac:dyDescent="0.25">
      <c r="A6" t="s">
        <v>2</v>
      </c>
      <c r="B6" t="s">
        <v>3</v>
      </c>
      <c r="C6" t="s">
        <v>6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9" x14ac:dyDescent="0.25">
      <c r="A7">
        <v>15</v>
      </c>
      <c r="B7">
        <f>(A7-AVERAGE(B$1:B$2))/(B$1-B$2)</f>
        <v>-1.25</v>
      </c>
      <c r="C7">
        <f>IF(A7&lt;AVERAGE(B$1:B$2),-1*(A7-AVERAGE(B$1:B$2))^2/(B$1-B$2),(A7-AVERAGE(B$1:B$2))^2/(B$1-B$2))</f>
        <v>-9.375</v>
      </c>
      <c r="D7">
        <f>IF(
   ABS($A7 - AVERAGE(B$1:B$2)) &lt;= (B$1 - B$2)/2,
   ($A7 - AVERAGE(B$1:B$2)) / ((B$1 - B$2)/2),
   SIGN($A7 - AVERAGE(B$1:B$2)) *
   EXP(0.7 * (ABS($A7 - AVERAGE(B$1:B$2)) - (B$1 - B$2)/2))
)</f>
        <v>-23.336064580942711</v>
      </c>
      <c r="E7">
        <f>IF(
   ABS($A7 - AVERAGE(C$1:C$2)) &lt;= (C$1 - C$2)/2,
   ($A7 - AVERAGE(C$1:C$2)) / ((C$1 - C$2)/2),
   SIGN($A7 - AVERAGE(C$1:C$2)) *
   EXP(0.7 * (ABS($A7 - AVERAGE(C$1:C$2)) - (C$1 - C$2)/2))
)</f>
        <v>-46.993063231579264</v>
      </c>
      <c r="F7">
        <f>IF(
   ABS($A7 - AVERAGE(D$1:D$2)) &lt;= (D$1 - D$2)/2,
   ($A7 - AVERAGE(D$1:D$2)) / ((D$1 - D$2)/2),
   SIGN($A7 - AVERAGE(D$1:D$2)) *
   EXP(0.7 * (ABS($A7 - AVERAGE(D$1:D$2)) - (D$1 - D$2)/2))
)</f>
        <v>-94.632408314924064</v>
      </c>
      <c r="G7">
        <f>-1*($A7-$B$5)^2/(B$1-B$2)</f>
        <v>-9.375</v>
      </c>
      <c r="H7">
        <f>-1*($A7-$B$5)^2/(C$1-C$2)</f>
        <v>-14.0625</v>
      </c>
      <c r="I7">
        <f>-1*($A7-$B$5)^2/(D$1-D$2)</f>
        <v>-28.125</v>
      </c>
    </row>
    <row r="8" spans="1:9" x14ac:dyDescent="0.25">
      <c r="A8">
        <v>15.5</v>
      </c>
      <c r="B8">
        <f t="shared" ref="B8:B37" si="0">(A8-AVERAGE(B$1:B$2))/(B$1-B$2)</f>
        <v>-1.1666666666666667</v>
      </c>
      <c r="C8">
        <f t="shared" ref="C8:C37" si="1">IF(A8&lt;AVERAGE(B$1:B$2),-1*(A8-AVERAGE(B$1:B$2))^2/(B$1-B$2),(A8-AVERAGE(B$1:B$2))^2/(B$1-B$2))</f>
        <v>-8.1666666666666661</v>
      </c>
      <c r="D8">
        <f t="shared" ref="D8:D37" si="2">IF(
   ABS(A8 - AVERAGE(B$1:B$2)) &lt;= (B$1 - B$2)/2,
   (A8 - AVERAGE(B$1:B$2)) / ((B$1 - B$2)/2),
   SIGN(A8 - AVERAGE(B$1:B$2)) *
   EXP(0.7 * (ABS(A8 - AVERAGE(B$1:B$2)) - (B$1 - B$2)/2))
)</f>
        <v>-16.444646771097048</v>
      </c>
      <c r="E8">
        <f t="shared" ref="E8:E37" si="3">IF(
   ABS($A8 - AVERAGE(C$1:C$2)) &lt;= (C$1 - C$2)/2,
   ($A8 - AVERAGE(C$1:C$2)) / ((C$1 - C$2)/2),
   SIGN($A8 - AVERAGE(C$1:C$2)) *
   EXP(0.7 * (ABS($A8 - AVERAGE(C$1:C$2)) - (C$1 - C$2)/2))
)</f>
        <v>-33.115451958692312</v>
      </c>
      <c r="F8">
        <f t="shared" ref="F8:F37" si="4">IF(
   ABS($A8 - AVERAGE(D$1:D$2)) &lt;= (D$1 - D$2)/2,
   ($A8 - AVERAGE(D$1:D$2)) / ((D$1 - D$2)/2),
   SIGN($A8 - AVERAGE(D$1:D$2)) *
   EXP(0.7 * (ABS($A8 - AVERAGE(D$1:D$2)) - (D$1 - D$2)/2))
)</f>
        <v>-66.686331040925097</v>
      </c>
      <c r="G8">
        <f t="shared" ref="G8:G37" si="5">-1*($A8-$B$5)^2/(B$1-B$2)</f>
        <v>-8.1666666666666661</v>
      </c>
      <c r="H8">
        <f t="shared" ref="H8:H37" si="6">-1*($A8-$B$5)^2/(C$1-C$2)</f>
        <v>-12.25</v>
      </c>
      <c r="I8">
        <f t="shared" ref="I8:I37" si="7">-1*($A8-$B$5)^2/(D$1-D$2)</f>
        <v>-24.5</v>
      </c>
    </row>
    <row r="9" spans="1:9" x14ac:dyDescent="0.25">
      <c r="A9">
        <v>16</v>
      </c>
      <c r="B9">
        <f t="shared" si="0"/>
        <v>-1.0833333333333333</v>
      </c>
      <c r="C9">
        <f t="shared" si="1"/>
        <v>-7.041666666666667</v>
      </c>
      <c r="D9">
        <f t="shared" si="2"/>
        <v>-11.588346719223386</v>
      </c>
      <c r="E9">
        <f t="shared" si="3"/>
        <v>-23.336064580942711</v>
      </c>
      <c r="F9">
        <f t="shared" si="4"/>
        <v>-46.993063231579264</v>
      </c>
      <c r="G9">
        <f t="shared" si="5"/>
        <v>-7.041666666666667</v>
      </c>
      <c r="H9">
        <f t="shared" si="6"/>
        <v>-10.5625</v>
      </c>
      <c r="I9">
        <f t="shared" si="7"/>
        <v>-21.125</v>
      </c>
    </row>
    <row r="10" spans="1:9" x14ac:dyDescent="0.25">
      <c r="A10">
        <v>16.5</v>
      </c>
      <c r="B10">
        <f t="shared" si="0"/>
        <v>-1</v>
      </c>
      <c r="C10">
        <f t="shared" si="1"/>
        <v>-6</v>
      </c>
      <c r="D10">
        <f t="shared" si="2"/>
        <v>-8.1661699125676463</v>
      </c>
      <c r="E10">
        <f t="shared" si="3"/>
        <v>-16.444646771097048</v>
      </c>
      <c r="F10">
        <f t="shared" si="4"/>
        <v>-33.115451958692312</v>
      </c>
      <c r="G10">
        <f t="shared" si="5"/>
        <v>-6</v>
      </c>
      <c r="H10">
        <f t="shared" si="6"/>
        <v>-9</v>
      </c>
      <c r="I10">
        <f t="shared" si="7"/>
        <v>-18</v>
      </c>
    </row>
    <row r="11" spans="1:9" x14ac:dyDescent="0.25">
      <c r="A11">
        <v>17</v>
      </c>
      <c r="B11">
        <f t="shared" si="0"/>
        <v>-0.91666666666666663</v>
      </c>
      <c r="C11">
        <f t="shared" si="1"/>
        <v>-5.041666666666667</v>
      </c>
      <c r="D11">
        <f t="shared" si="2"/>
        <v>-5.7546026760057307</v>
      </c>
      <c r="E11">
        <f t="shared" si="3"/>
        <v>-11.588346719223386</v>
      </c>
      <c r="F11">
        <f t="shared" si="4"/>
        <v>-23.336064580942711</v>
      </c>
      <c r="G11">
        <f t="shared" si="5"/>
        <v>-5.041666666666667</v>
      </c>
      <c r="H11">
        <f t="shared" si="6"/>
        <v>-7.5625</v>
      </c>
      <c r="I11">
        <f t="shared" si="7"/>
        <v>-15.125</v>
      </c>
    </row>
    <row r="12" spans="1:9" x14ac:dyDescent="0.25">
      <c r="A12">
        <v>17.5</v>
      </c>
      <c r="B12">
        <f t="shared" si="0"/>
        <v>-0.83333333333333337</v>
      </c>
      <c r="C12">
        <f t="shared" si="1"/>
        <v>-4.166666666666667</v>
      </c>
      <c r="D12">
        <f t="shared" si="2"/>
        <v>-4.0551999668446745</v>
      </c>
      <c r="E12">
        <f t="shared" si="3"/>
        <v>-8.1661699125676463</v>
      </c>
      <c r="F12">
        <f t="shared" si="4"/>
        <v>-16.444646771097048</v>
      </c>
      <c r="G12">
        <f t="shared" si="5"/>
        <v>-4.166666666666667</v>
      </c>
      <c r="H12">
        <f t="shared" si="6"/>
        <v>-6.25</v>
      </c>
      <c r="I12">
        <f t="shared" si="7"/>
        <v>-12.5</v>
      </c>
    </row>
    <row r="13" spans="1:9" x14ac:dyDescent="0.25">
      <c r="A13">
        <v>18</v>
      </c>
      <c r="B13">
        <f t="shared" si="0"/>
        <v>-0.75</v>
      </c>
      <c r="C13">
        <f t="shared" si="1"/>
        <v>-3.375</v>
      </c>
      <c r="D13">
        <f t="shared" si="2"/>
        <v>-2.8576511180631634</v>
      </c>
      <c r="E13">
        <f t="shared" si="3"/>
        <v>-5.7546026760057307</v>
      </c>
      <c r="F13">
        <f t="shared" si="4"/>
        <v>-11.588346719223386</v>
      </c>
      <c r="G13">
        <f t="shared" si="5"/>
        <v>-3.375</v>
      </c>
      <c r="H13">
        <f t="shared" si="6"/>
        <v>-5.0625</v>
      </c>
      <c r="I13">
        <f t="shared" si="7"/>
        <v>-10.125</v>
      </c>
    </row>
    <row r="14" spans="1:9" x14ac:dyDescent="0.25">
      <c r="A14">
        <v>18.5</v>
      </c>
      <c r="B14">
        <f t="shared" si="0"/>
        <v>-0.66666666666666663</v>
      </c>
      <c r="C14">
        <f t="shared" si="1"/>
        <v>-2.6666666666666665</v>
      </c>
      <c r="D14">
        <f t="shared" si="2"/>
        <v>-2.0137527074704766</v>
      </c>
      <c r="E14">
        <f t="shared" si="3"/>
        <v>-4.0551999668446745</v>
      </c>
      <c r="F14">
        <f t="shared" si="4"/>
        <v>-8.1661699125676463</v>
      </c>
      <c r="G14">
        <f t="shared" si="5"/>
        <v>-2.6666666666666665</v>
      </c>
      <c r="H14">
        <f t="shared" si="6"/>
        <v>-4</v>
      </c>
      <c r="I14">
        <f t="shared" si="7"/>
        <v>-8</v>
      </c>
    </row>
    <row r="15" spans="1:9" x14ac:dyDescent="0.25">
      <c r="A15">
        <v>19</v>
      </c>
      <c r="B15">
        <f t="shared" si="0"/>
        <v>-0.58333333333333337</v>
      </c>
      <c r="C15">
        <f t="shared" si="1"/>
        <v>-2.0416666666666665</v>
      </c>
      <c r="D15">
        <f t="shared" si="2"/>
        <v>-1.4190675485932571</v>
      </c>
      <c r="E15">
        <f t="shared" si="3"/>
        <v>-2.8576511180631634</v>
      </c>
      <c r="F15">
        <f t="shared" si="4"/>
        <v>-5.7546026760057307</v>
      </c>
      <c r="G15">
        <f t="shared" si="5"/>
        <v>-2.0416666666666665</v>
      </c>
      <c r="H15">
        <f t="shared" si="6"/>
        <v>-3.0625</v>
      </c>
      <c r="I15">
        <f t="shared" si="7"/>
        <v>-6.125</v>
      </c>
    </row>
    <row r="16" spans="1:9" x14ac:dyDescent="0.25">
      <c r="A16">
        <v>19.5</v>
      </c>
      <c r="B16">
        <f t="shared" si="0"/>
        <v>-0.5</v>
      </c>
      <c r="C16">
        <f t="shared" si="1"/>
        <v>-1.5</v>
      </c>
      <c r="D16">
        <f t="shared" si="2"/>
        <v>-1</v>
      </c>
      <c r="E16">
        <f t="shared" si="3"/>
        <v>-2.0137527074704766</v>
      </c>
      <c r="F16">
        <f t="shared" si="4"/>
        <v>-4.0551999668446745</v>
      </c>
      <c r="G16">
        <f t="shared" si="5"/>
        <v>-1.5</v>
      </c>
      <c r="H16">
        <f t="shared" si="6"/>
        <v>-2.25</v>
      </c>
      <c r="I16">
        <f t="shared" si="7"/>
        <v>-4.5</v>
      </c>
    </row>
    <row r="17" spans="1:9" x14ac:dyDescent="0.25">
      <c r="A17">
        <v>20</v>
      </c>
      <c r="B17">
        <f t="shared" si="0"/>
        <v>-0.41666666666666669</v>
      </c>
      <c r="C17">
        <f t="shared" si="1"/>
        <v>-1.0416666666666667</v>
      </c>
      <c r="D17">
        <f t="shared" si="2"/>
        <v>-0.83333333333333337</v>
      </c>
      <c r="E17">
        <f t="shared" si="3"/>
        <v>-1.4190675485932571</v>
      </c>
      <c r="F17">
        <f t="shared" si="4"/>
        <v>-2.8576511180631634</v>
      </c>
      <c r="G17">
        <f t="shared" si="5"/>
        <v>-1.0416666666666667</v>
      </c>
      <c r="H17">
        <f t="shared" si="6"/>
        <v>-1.5625</v>
      </c>
      <c r="I17">
        <f t="shared" si="7"/>
        <v>-3.125</v>
      </c>
    </row>
    <row r="18" spans="1:9" x14ac:dyDescent="0.25">
      <c r="A18">
        <v>20.5</v>
      </c>
      <c r="B18">
        <f t="shared" si="0"/>
        <v>-0.33333333333333331</v>
      </c>
      <c r="C18">
        <f t="shared" si="1"/>
        <v>-0.66666666666666663</v>
      </c>
      <c r="D18">
        <f t="shared" si="2"/>
        <v>-0.66666666666666663</v>
      </c>
      <c r="E18">
        <f t="shared" si="3"/>
        <v>-1</v>
      </c>
      <c r="F18">
        <f t="shared" si="4"/>
        <v>-2.0137527074704766</v>
      </c>
      <c r="G18">
        <f t="shared" si="5"/>
        <v>-0.66666666666666663</v>
      </c>
      <c r="H18">
        <f t="shared" si="6"/>
        <v>-1</v>
      </c>
      <c r="I18">
        <f t="shared" si="7"/>
        <v>-2</v>
      </c>
    </row>
    <row r="19" spans="1:9" x14ac:dyDescent="0.25">
      <c r="A19">
        <v>21</v>
      </c>
      <c r="B19">
        <f t="shared" si="0"/>
        <v>-0.25</v>
      </c>
      <c r="C19">
        <f t="shared" si="1"/>
        <v>-0.375</v>
      </c>
      <c r="D19">
        <f t="shared" si="2"/>
        <v>-0.5</v>
      </c>
      <c r="E19">
        <f t="shared" si="3"/>
        <v>-0.75</v>
      </c>
      <c r="F19">
        <f t="shared" si="4"/>
        <v>-1.4190675485932571</v>
      </c>
      <c r="G19">
        <f t="shared" si="5"/>
        <v>-0.375</v>
      </c>
      <c r="H19">
        <f t="shared" si="6"/>
        <v>-0.5625</v>
      </c>
      <c r="I19">
        <f t="shared" si="7"/>
        <v>-1.125</v>
      </c>
    </row>
    <row r="20" spans="1:9" x14ac:dyDescent="0.25">
      <c r="A20">
        <v>21.5</v>
      </c>
      <c r="B20">
        <f t="shared" si="0"/>
        <v>-0.16666666666666666</v>
      </c>
      <c r="C20">
        <f t="shared" si="1"/>
        <v>-0.16666666666666666</v>
      </c>
      <c r="D20">
        <f t="shared" si="2"/>
        <v>-0.33333333333333331</v>
      </c>
      <c r="E20">
        <f t="shared" si="3"/>
        <v>-0.5</v>
      </c>
      <c r="F20">
        <f t="shared" si="4"/>
        <v>-1</v>
      </c>
      <c r="G20">
        <f t="shared" si="5"/>
        <v>-0.16666666666666666</v>
      </c>
      <c r="H20">
        <f t="shared" si="6"/>
        <v>-0.25</v>
      </c>
      <c r="I20">
        <f t="shared" si="7"/>
        <v>-0.5</v>
      </c>
    </row>
    <row r="21" spans="1:9" x14ac:dyDescent="0.25">
      <c r="A21">
        <v>22</v>
      </c>
      <c r="B21">
        <f t="shared" si="0"/>
        <v>-8.3333333333333329E-2</v>
      </c>
      <c r="C21">
        <f t="shared" si="1"/>
        <v>-4.1666666666666664E-2</v>
      </c>
      <c r="D21">
        <f t="shared" si="2"/>
        <v>-0.16666666666666666</v>
      </c>
      <c r="E21">
        <f t="shared" si="3"/>
        <v>-0.25</v>
      </c>
      <c r="F21">
        <f t="shared" si="4"/>
        <v>-0.5</v>
      </c>
      <c r="G21">
        <f t="shared" si="5"/>
        <v>-4.1666666666666664E-2</v>
      </c>
      <c r="H21">
        <f t="shared" si="6"/>
        <v>-6.25E-2</v>
      </c>
      <c r="I21">
        <f t="shared" si="7"/>
        <v>-0.125</v>
      </c>
    </row>
    <row r="22" spans="1:9" x14ac:dyDescent="0.25">
      <c r="A22">
        <v>22.5</v>
      </c>
      <c r="B22">
        <f t="shared" si="0"/>
        <v>0</v>
      </c>
      <c r="C22">
        <f t="shared" si="1"/>
        <v>0</v>
      </c>
      <c r="D22">
        <f t="shared" si="2"/>
        <v>0</v>
      </c>
      <c r="E22">
        <f t="shared" si="3"/>
        <v>0</v>
      </c>
      <c r="F22">
        <f t="shared" si="4"/>
        <v>0</v>
      </c>
      <c r="G22">
        <f t="shared" si="5"/>
        <v>0</v>
      </c>
      <c r="H22">
        <f t="shared" si="6"/>
        <v>0</v>
      </c>
      <c r="I22">
        <f t="shared" si="7"/>
        <v>0</v>
      </c>
    </row>
    <row r="23" spans="1:9" x14ac:dyDescent="0.25">
      <c r="A23">
        <v>23</v>
      </c>
      <c r="B23">
        <f t="shared" si="0"/>
        <v>8.3333333333333329E-2</v>
      </c>
      <c r="C23">
        <f t="shared" si="1"/>
        <v>4.1666666666666664E-2</v>
      </c>
      <c r="D23">
        <f t="shared" si="2"/>
        <v>0.16666666666666666</v>
      </c>
      <c r="E23">
        <f t="shared" si="3"/>
        <v>0.25</v>
      </c>
      <c r="F23">
        <f t="shared" si="4"/>
        <v>0.5</v>
      </c>
      <c r="G23">
        <f t="shared" si="5"/>
        <v>-4.1666666666666664E-2</v>
      </c>
      <c r="H23">
        <f t="shared" si="6"/>
        <v>-6.25E-2</v>
      </c>
      <c r="I23">
        <f t="shared" si="7"/>
        <v>-0.125</v>
      </c>
    </row>
    <row r="24" spans="1:9" x14ac:dyDescent="0.25">
      <c r="A24">
        <v>23.5</v>
      </c>
      <c r="B24">
        <f t="shared" si="0"/>
        <v>0.16666666666666666</v>
      </c>
      <c r="C24">
        <f t="shared" si="1"/>
        <v>0.16666666666666666</v>
      </c>
      <c r="D24">
        <f t="shared" si="2"/>
        <v>0.33333333333333331</v>
      </c>
      <c r="E24">
        <f t="shared" si="3"/>
        <v>0.5</v>
      </c>
      <c r="F24">
        <f t="shared" si="4"/>
        <v>1</v>
      </c>
      <c r="G24">
        <f t="shared" si="5"/>
        <v>-0.16666666666666666</v>
      </c>
      <c r="H24">
        <f t="shared" si="6"/>
        <v>-0.25</v>
      </c>
      <c r="I24">
        <f t="shared" si="7"/>
        <v>-0.5</v>
      </c>
    </row>
    <row r="25" spans="1:9" x14ac:dyDescent="0.25">
      <c r="A25">
        <v>24</v>
      </c>
      <c r="B25">
        <f t="shared" si="0"/>
        <v>0.25</v>
      </c>
      <c r="C25">
        <f t="shared" si="1"/>
        <v>0.375</v>
      </c>
      <c r="D25">
        <f t="shared" si="2"/>
        <v>0.5</v>
      </c>
      <c r="E25">
        <f t="shared" si="3"/>
        <v>0.75</v>
      </c>
      <c r="F25">
        <f t="shared" si="4"/>
        <v>1.4190675485932571</v>
      </c>
      <c r="G25">
        <f t="shared" si="5"/>
        <v>-0.375</v>
      </c>
      <c r="H25">
        <f t="shared" si="6"/>
        <v>-0.5625</v>
      </c>
      <c r="I25">
        <f t="shared" si="7"/>
        <v>-1.125</v>
      </c>
    </row>
    <row r="26" spans="1:9" x14ac:dyDescent="0.25">
      <c r="A26">
        <v>24.5</v>
      </c>
      <c r="B26">
        <f t="shared" si="0"/>
        <v>0.33333333333333331</v>
      </c>
      <c r="C26">
        <f t="shared" si="1"/>
        <v>0.66666666666666663</v>
      </c>
      <c r="D26">
        <f t="shared" si="2"/>
        <v>0.66666666666666663</v>
      </c>
      <c r="E26">
        <f t="shared" si="3"/>
        <v>1</v>
      </c>
      <c r="F26">
        <f t="shared" si="4"/>
        <v>2.0137527074704766</v>
      </c>
      <c r="G26">
        <f t="shared" si="5"/>
        <v>-0.66666666666666663</v>
      </c>
      <c r="H26">
        <f t="shared" si="6"/>
        <v>-1</v>
      </c>
      <c r="I26">
        <f t="shared" si="7"/>
        <v>-2</v>
      </c>
    </row>
    <row r="27" spans="1:9" x14ac:dyDescent="0.25">
      <c r="A27">
        <v>25</v>
      </c>
      <c r="B27">
        <f t="shared" si="0"/>
        <v>0.41666666666666669</v>
      </c>
      <c r="C27">
        <f t="shared" si="1"/>
        <v>1.0416666666666667</v>
      </c>
      <c r="D27">
        <f t="shared" si="2"/>
        <v>0.83333333333333337</v>
      </c>
      <c r="E27">
        <f t="shared" si="3"/>
        <v>1.4190675485932571</v>
      </c>
      <c r="F27">
        <f t="shared" si="4"/>
        <v>2.8576511180631634</v>
      </c>
      <c r="G27">
        <f t="shared" si="5"/>
        <v>-1.0416666666666667</v>
      </c>
      <c r="H27">
        <f t="shared" si="6"/>
        <v>-1.5625</v>
      </c>
      <c r="I27">
        <f t="shared" si="7"/>
        <v>-3.125</v>
      </c>
    </row>
    <row r="28" spans="1:9" x14ac:dyDescent="0.25">
      <c r="A28">
        <v>25.5</v>
      </c>
      <c r="B28">
        <f t="shared" si="0"/>
        <v>0.5</v>
      </c>
      <c r="C28">
        <f t="shared" si="1"/>
        <v>1.5</v>
      </c>
      <c r="D28">
        <f t="shared" si="2"/>
        <v>1</v>
      </c>
      <c r="E28">
        <f t="shared" si="3"/>
        <v>2.0137527074704766</v>
      </c>
      <c r="F28">
        <f t="shared" si="4"/>
        <v>4.0551999668446745</v>
      </c>
      <c r="G28">
        <f t="shared" si="5"/>
        <v>-1.5</v>
      </c>
      <c r="H28">
        <f t="shared" si="6"/>
        <v>-2.25</v>
      </c>
      <c r="I28">
        <f t="shared" si="7"/>
        <v>-4.5</v>
      </c>
    </row>
    <row r="29" spans="1:9" x14ac:dyDescent="0.25">
      <c r="A29">
        <v>26</v>
      </c>
      <c r="B29">
        <f t="shared" si="0"/>
        <v>0.58333333333333337</v>
      </c>
      <c r="C29">
        <f t="shared" si="1"/>
        <v>2.0416666666666665</v>
      </c>
      <c r="D29">
        <f t="shared" si="2"/>
        <v>1.4190675485932571</v>
      </c>
      <c r="E29">
        <f t="shared" si="3"/>
        <v>2.8576511180631634</v>
      </c>
      <c r="F29">
        <f t="shared" si="4"/>
        <v>5.7546026760057307</v>
      </c>
      <c r="G29">
        <f t="shared" si="5"/>
        <v>-2.0416666666666665</v>
      </c>
      <c r="H29">
        <f t="shared" si="6"/>
        <v>-3.0625</v>
      </c>
      <c r="I29">
        <f t="shared" si="7"/>
        <v>-6.125</v>
      </c>
    </row>
    <row r="30" spans="1:9" x14ac:dyDescent="0.25">
      <c r="A30">
        <v>26.5</v>
      </c>
      <c r="B30">
        <f t="shared" si="0"/>
        <v>0.66666666666666663</v>
      </c>
      <c r="C30">
        <f t="shared" si="1"/>
        <v>2.6666666666666665</v>
      </c>
      <c r="D30">
        <f t="shared" si="2"/>
        <v>2.0137527074704766</v>
      </c>
      <c r="E30">
        <f t="shared" si="3"/>
        <v>4.0551999668446745</v>
      </c>
      <c r="F30">
        <f t="shared" si="4"/>
        <v>8.1661699125676463</v>
      </c>
      <c r="G30">
        <f t="shared" si="5"/>
        <v>-2.6666666666666665</v>
      </c>
      <c r="H30">
        <f t="shared" si="6"/>
        <v>-4</v>
      </c>
      <c r="I30">
        <f t="shared" si="7"/>
        <v>-8</v>
      </c>
    </row>
    <row r="31" spans="1:9" x14ac:dyDescent="0.25">
      <c r="A31">
        <v>27</v>
      </c>
      <c r="B31">
        <f t="shared" si="0"/>
        <v>0.75</v>
      </c>
      <c r="C31">
        <f t="shared" si="1"/>
        <v>3.375</v>
      </c>
      <c r="D31">
        <f t="shared" si="2"/>
        <v>2.8576511180631634</v>
      </c>
      <c r="E31">
        <f t="shared" si="3"/>
        <v>5.7546026760057307</v>
      </c>
      <c r="F31">
        <f t="shared" si="4"/>
        <v>11.588346719223386</v>
      </c>
      <c r="G31">
        <f t="shared" si="5"/>
        <v>-3.375</v>
      </c>
      <c r="H31">
        <f t="shared" si="6"/>
        <v>-5.0625</v>
      </c>
      <c r="I31">
        <f t="shared" si="7"/>
        <v>-10.125</v>
      </c>
    </row>
    <row r="32" spans="1:9" x14ac:dyDescent="0.25">
      <c r="A32">
        <v>27.5</v>
      </c>
      <c r="B32">
        <f t="shared" si="0"/>
        <v>0.83333333333333337</v>
      </c>
      <c r="C32">
        <f t="shared" si="1"/>
        <v>4.166666666666667</v>
      </c>
      <c r="D32">
        <f t="shared" si="2"/>
        <v>4.0551999668446745</v>
      </c>
      <c r="E32">
        <f t="shared" si="3"/>
        <v>8.1661699125676463</v>
      </c>
      <c r="F32">
        <f t="shared" si="4"/>
        <v>16.444646771097048</v>
      </c>
      <c r="G32">
        <f t="shared" si="5"/>
        <v>-4.166666666666667</v>
      </c>
      <c r="H32">
        <f t="shared" si="6"/>
        <v>-6.25</v>
      </c>
      <c r="I32">
        <f t="shared" si="7"/>
        <v>-12.5</v>
      </c>
    </row>
    <row r="33" spans="1:9" x14ac:dyDescent="0.25">
      <c r="A33">
        <v>28</v>
      </c>
      <c r="B33">
        <f t="shared" si="0"/>
        <v>0.91666666666666663</v>
      </c>
      <c r="C33">
        <f t="shared" si="1"/>
        <v>5.041666666666667</v>
      </c>
      <c r="D33">
        <f t="shared" si="2"/>
        <v>5.7546026760057307</v>
      </c>
      <c r="E33">
        <f t="shared" si="3"/>
        <v>11.588346719223386</v>
      </c>
      <c r="F33">
        <f t="shared" si="4"/>
        <v>23.336064580942711</v>
      </c>
      <c r="G33">
        <f t="shared" si="5"/>
        <v>-5.041666666666667</v>
      </c>
      <c r="H33">
        <f t="shared" si="6"/>
        <v>-7.5625</v>
      </c>
      <c r="I33">
        <f t="shared" si="7"/>
        <v>-15.125</v>
      </c>
    </row>
    <row r="34" spans="1:9" x14ac:dyDescent="0.25">
      <c r="A34">
        <v>28.5</v>
      </c>
      <c r="B34">
        <f t="shared" si="0"/>
        <v>1</v>
      </c>
      <c r="C34">
        <f t="shared" si="1"/>
        <v>6</v>
      </c>
      <c r="D34">
        <f t="shared" si="2"/>
        <v>8.1661699125676463</v>
      </c>
      <c r="E34">
        <f t="shared" si="3"/>
        <v>16.444646771097048</v>
      </c>
      <c r="F34">
        <f t="shared" si="4"/>
        <v>33.115451958692312</v>
      </c>
      <c r="G34">
        <f t="shared" si="5"/>
        <v>-6</v>
      </c>
      <c r="H34">
        <f t="shared" si="6"/>
        <v>-9</v>
      </c>
      <c r="I34">
        <f t="shared" si="7"/>
        <v>-18</v>
      </c>
    </row>
    <row r="35" spans="1:9" x14ac:dyDescent="0.25">
      <c r="A35">
        <v>29</v>
      </c>
      <c r="B35">
        <f t="shared" si="0"/>
        <v>1.0833333333333333</v>
      </c>
      <c r="C35">
        <f t="shared" si="1"/>
        <v>7.041666666666667</v>
      </c>
      <c r="D35">
        <f t="shared" si="2"/>
        <v>11.588346719223386</v>
      </c>
      <c r="E35">
        <f t="shared" si="3"/>
        <v>23.336064580942711</v>
      </c>
      <c r="F35">
        <f t="shared" si="4"/>
        <v>46.993063231579264</v>
      </c>
      <c r="G35">
        <f t="shared" si="5"/>
        <v>-7.041666666666667</v>
      </c>
      <c r="H35">
        <f t="shared" si="6"/>
        <v>-10.5625</v>
      </c>
      <c r="I35">
        <f t="shared" si="7"/>
        <v>-21.125</v>
      </c>
    </row>
    <row r="36" spans="1:9" x14ac:dyDescent="0.25">
      <c r="A36">
        <v>29.5</v>
      </c>
      <c r="B36">
        <f t="shared" si="0"/>
        <v>1.1666666666666667</v>
      </c>
      <c r="C36">
        <f t="shared" si="1"/>
        <v>8.1666666666666661</v>
      </c>
      <c r="D36">
        <f t="shared" si="2"/>
        <v>16.444646771097048</v>
      </c>
      <c r="E36">
        <f t="shared" si="3"/>
        <v>33.115451958692312</v>
      </c>
      <c r="F36">
        <f t="shared" si="4"/>
        <v>66.686331040925097</v>
      </c>
      <c r="G36">
        <f t="shared" si="5"/>
        <v>-8.1666666666666661</v>
      </c>
      <c r="H36">
        <f t="shared" si="6"/>
        <v>-12.25</v>
      </c>
      <c r="I36">
        <f t="shared" si="7"/>
        <v>-24.5</v>
      </c>
    </row>
    <row r="37" spans="1:9" x14ac:dyDescent="0.25">
      <c r="A37">
        <v>30</v>
      </c>
      <c r="B37">
        <f t="shared" si="0"/>
        <v>1.25</v>
      </c>
      <c r="C37">
        <f t="shared" si="1"/>
        <v>9.375</v>
      </c>
      <c r="D37">
        <f t="shared" si="2"/>
        <v>23.336064580942711</v>
      </c>
      <c r="E37">
        <f t="shared" si="3"/>
        <v>46.993063231579264</v>
      </c>
      <c r="F37">
        <f t="shared" si="4"/>
        <v>94.632408314924064</v>
      </c>
      <c r="G37">
        <f t="shared" si="5"/>
        <v>-9.375</v>
      </c>
      <c r="H37">
        <f t="shared" si="6"/>
        <v>-14.0625</v>
      </c>
      <c r="I37">
        <f t="shared" si="7"/>
        <v>-28.125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F8A9-6E69-4436-A2D1-6259AB34D1E8}">
  <dimension ref="A1:O39"/>
  <sheetViews>
    <sheetView topLeftCell="F1" workbookViewId="0">
      <selection activeCell="G3" sqref="A1:XFD1048576"/>
    </sheetView>
  </sheetViews>
  <sheetFormatPr defaultRowHeight="15" x14ac:dyDescent="0.25"/>
  <cols>
    <col min="2" max="2" width="9.140625" customWidth="1"/>
    <col min="3" max="3" width="21.85546875" bestFit="1" customWidth="1"/>
    <col min="4" max="4" width="21.85546875" customWidth="1"/>
    <col min="5" max="5" width="21.42578125" bestFit="1" customWidth="1"/>
    <col min="6" max="6" width="21.42578125" customWidth="1"/>
    <col min="7" max="7" width="21.42578125" bestFit="1" customWidth="1"/>
    <col min="8" max="8" width="24" bestFit="1" customWidth="1"/>
    <col min="9" max="9" width="17.42578125" bestFit="1" customWidth="1"/>
    <col min="10" max="10" width="13.5703125" bestFit="1" customWidth="1"/>
  </cols>
  <sheetData>
    <row r="1" spans="1:15" x14ac:dyDescent="0.25">
      <c r="A1" t="s">
        <v>0</v>
      </c>
      <c r="C1">
        <f>$B$6+C4</f>
        <v>25.5</v>
      </c>
      <c r="E1">
        <f>$B$6+E4</f>
        <v>24.5</v>
      </c>
      <c r="G1">
        <f>$B$6+G4</f>
        <v>23.5</v>
      </c>
      <c r="H1">
        <f>$B$6+H4</f>
        <v>23.25</v>
      </c>
      <c r="I1">
        <f t="shared" ref="I1" si="0">$B$6+I4</f>
        <v>23</v>
      </c>
      <c r="J1">
        <f>$B$6+J4</f>
        <v>22.6</v>
      </c>
    </row>
    <row r="2" spans="1:15" x14ac:dyDescent="0.25">
      <c r="A2" t="s">
        <v>1</v>
      </c>
      <c r="C2">
        <f>$B$6-C4</f>
        <v>19.5</v>
      </c>
      <c r="E2">
        <f>$B$6-E4</f>
        <v>20.5</v>
      </c>
      <c r="G2">
        <f>$B$6-G4</f>
        <v>21.5</v>
      </c>
      <c r="H2">
        <f>$B$6-H4</f>
        <v>21.75</v>
      </c>
      <c r="I2">
        <f t="shared" ref="I2" si="1">$B$6-I4</f>
        <v>22</v>
      </c>
      <c r="J2">
        <f>$B$6-J4</f>
        <v>22.4</v>
      </c>
    </row>
    <row r="3" spans="1:15" x14ac:dyDescent="0.25">
      <c r="C3">
        <f>AVERAGE(C1:C2)</f>
        <v>22.5</v>
      </c>
      <c r="E3">
        <f>AVERAGE(E1:E2)</f>
        <v>22.5</v>
      </c>
      <c r="G3">
        <f>AVERAGE(G1:G2)</f>
        <v>22.5</v>
      </c>
      <c r="H3">
        <f>AVERAGE(H1:H2)</f>
        <v>22.5</v>
      </c>
      <c r="I3">
        <f t="shared" ref="I3" si="2">AVERAGE(I1:I2)</f>
        <v>22.5</v>
      </c>
      <c r="J3">
        <f>AVERAGE(J1:J2)</f>
        <v>22.5</v>
      </c>
    </row>
    <row r="4" spans="1:15" x14ac:dyDescent="0.25">
      <c r="A4" s="1" t="s">
        <v>5</v>
      </c>
      <c r="B4" s="1"/>
      <c r="C4" s="1">
        <v>3</v>
      </c>
      <c r="D4" s="1"/>
      <c r="E4" s="1">
        <v>2</v>
      </c>
      <c r="F4" s="1"/>
      <c r="G4" s="1">
        <v>1</v>
      </c>
      <c r="H4" s="1">
        <v>0.75</v>
      </c>
      <c r="I4" s="1">
        <v>0.5</v>
      </c>
      <c r="J4" s="1">
        <v>0.1</v>
      </c>
      <c r="K4" t="s">
        <v>30</v>
      </c>
    </row>
    <row r="5" spans="1:15" x14ac:dyDescent="0.25">
      <c r="A5" t="s">
        <v>15</v>
      </c>
      <c r="B5">
        <v>0.7</v>
      </c>
    </row>
    <row r="6" spans="1:15" x14ac:dyDescent="0.25">
      <c r="A6" t="s">
        <v>4</v>
      </c>
      <c r="B6">
        <v>22.5</v>
      </c>
    </row>
    <row r="8" spans="1:15" x14ac:dyDescent="0.25">
      <c r="A8" t="s">
        <v>2</v>
      </c>
      <c r="B8" t="s">
        <v>32</v>
      </c>
      <c r="C8" t="s">
        <v>24</v>
      </c>
      <c r="D8" t="s">
        <v>31</v>
      </c>
      <c r="E8" t="s">
        <v>25</v>
      </c>
      <c r="F8" t="s">
        <v>29</v>
      </c>
      <c r="G8" t="s">
        <v>26</v>
      </c>
      <c r="H8" t="s">
        <v>27</v>
      </c>
      <c r="I8" t="s">
        <v>28</v>
      </c>
      <c r="J8" t="s">
        <v>16</v>
      </c>
      <c r="L8">
        <v>21.5</v>
      </c>
      <c r="M8">
        <v>22.5</v>
      </c>
      <c r="N8">
        <v>23.5</v>
      </c>
      <c r="O8">
        <v>24.5</v>
      </c>
    </row>
    <row r="9" spans="1:15" x14ac:dyDescent="0.25">
      <c r="A9">
        <v>15</v>
      </c>
      <c r="B9">
        <f>(A9-AVERAGE(C$1:C$2))/$C$4</f>
        <v>-2.5</v>
      </c>
      <c r="C9">
        <f t="shared" ref="C9:I18" si="3">1-(($A9-$B$6)/C$4)^2</f>
        <v>-5.25</v>
      </c>
      <c r="D9">
        <f>($A9-$E$3)/($E$4)</f>
        <v>-3.75</v>
      </c>
      <c r="E9">
        <f>1-(($A9-$E$3)/E$4)^2</f>
        <v>-13.0625</v>
      </c>
      <c r="F9">
        <f>($A9-$G$3)/($G$4)</f>
        <v>-7.5</v>
      </c>
      <c r="G9">
        <f t="shared" si="3"/>
        <v>-55.25</v>
      </c>
      <c r="H9">
        <f t="shared" si="3"/>
        <v>-99</v>
      </c>
      <c r="I9">
        <f t="shared" si="3"/>
        <v>-224</v>
      </c>
      <c r="J9">
        <f t="shared" ref="J9:J39" si="4">1-(A9-$B$6)^2/(C$1-C$2)</f>
        <v>-8.375</v>
      </c>
      <c r="L9">
        <f t="shared" ref="L9:O39" si="5">($A9-L$8)/L$8</f>
        <v>-0.30232558139534882</v>
      </c>
      <c r="M9">
        <f t="shared" si="5"/>
        <v>-0.33333333333333331</v>
      </c>
      <c r="N9">
        <f t="shared" si="5"/>
        <v>-0.36170212765957449</v>
      </c>
      <c r="O9">
        <f t="shared" si="5"/>
        <v>-0.38775510204081631</v>
      </c>
    </row>
    <row r="10" spans="1:15" x14ac:dyDescent="0.25">
      <c r="A10">
        <v>15.5</v>
      </c>
      <c r="B10">
        <f t="shared" ref="B10:B39" si="6">(A10-AVERAGE(C$1:C$2))/$C$4</f>
        <v>-2.3333333333333335</v>
      </c>
      <c r="C10">
        <f t="shared" si="3"/>
        <v>-4.4444444444444455</v>
      </c>
      <c r="D10">
        <f t="shared" ref="D10:D39" si="7">($A10-$E$3)/($E$4)</f>
        <v>-3.5</v>
      </c>
      <c r="E10">
        <f t="shared" ref="E10:E39" si="8">1-(($A10-$E$3)/E$4)^2</f>
        <v>-11.25</v>
      </c>
      <c r="F10">
        <f t="shared" ref="F10:F39" si="9">($A10-$G$3)/($G$4)</f>
        <v>-7</v>
      </c>
      <c r="G10">
        <f t="shared" si="3"/>
        <v>-48</v>
      </c>
      <c r="H10">
        <f t="shared" si="3"/>
        <v>-86.111111111111128</v>
      </c>
      <c r="I10">
        <f t="shared" si="3"/>
        <v>-195</v>
      </c>
      <c r="J10">
        <f t="shared" si="4"/>
        <v>-7.1666666666666661</v>
      </c>
      <c r="L10">
        <f t="shared" si="5"/>
        <v>-0.27906976744186046</v>
      </c>
      <c r="M10">
        <f t="shared" si="5"/>
        <v>-0.31111111111111112</v>
      </c>
      <c r="N10">
        <f t="shared" si="5"/>
        <v>-0.34042553191489361</v>
      </c>
      <c r="O10">
        <f t="shared" si="5"/>
        <v>-0.36734693877551022</v>
      </c>
    </row>
    <row r="11" spans="1:15" x14ac:dyDescent="0.25">
      <c r="A11">
        <v>16</v>
      </c>
      <c r="B11">
        <f t="shared" si="6"/>
        <v>-2.1666666666666665</v>
      </c>
      <c r="C11">
        <f t="shared" si="3"/>
        <v>-3.6944444444444438</v>
      </c>
      <c r="D11">
        <f t="shared" si="7"/>
        <v>-3.25</v>
      </c>
      <c r="E11">
        <f t="shared" si="8"/>
        <v>-9.5625</v>
      </c>
      <c r="F11">
        <f t="shared" si="9"/>
        <v>-6.5</v>
      </c>
      <c r="G11">
        <f t="shared" si="3"/>
        <v>-41.25</v>
      </c>
      <c r="H11">
        <f t="shared" si="3"/>
        <v>-74.1111111111111</v>
      </c>
      <c r="I11">
        <f t="shared" si="3"/>
        <v>-168</v>
      </c>
      <c r="J11">
        <f t="shared" si="4"/>
        <v>-6.041666666666667</v>
      </c>
      <c r="L11">
        <f t="shared" si="5"/>
        <v>-0.2558139534883721</v>
      </c>
      <c r="M11">
        <f t="shared" si="5"/>
        <v>-0.28888888888888886</v>
      </c>
      <c r="N11">
        <f t="shared" si="5"/>
        <v>-0.31914893617021278</v>
      </c>
      <c r="O11">
        <f t="shared" si="5"/>
        <v>-0.34693877551020408</v>
      </c>
    </row>
    <row r="12" spans="1:15" x14ac:dyDescent="0.25">
      <c r="A12">
        <v>16.5</v>
      </c>
      <c r="B12">
        <f t="shared" si="6"/>
        <v>-2</v>
      </c>
      <c r="C12">
        <f t="shared" si="3"/>
        <v>-3</v>
      </c>
      <c r="D12">
        <f t="shared" si="7"/>
        <v>-3</v>
      </c>
      <c r="E12">
        <f t="shared" si="8"/>
        <v>-8</v>
      </c>
      <c r="F12">
        <f t="shared" si="9"/>
        <v>-6</v>
      </c>
      <c r="G12">
        <f t="shared" si="3"/>
        <v>-35</v>
      </c>
      <c r="H12">
        <f t="shared" si="3"/>
        <v>-63</v>
      </c>
      <c r="I12">
        <f t="shared" si="3"/>
        <v>-143</v>
      </c>
      <c r="J12">
        <f t="shared" si="4"/>
        <v>-5</v>
      </c>
      <c r="L12">
        <f t="shared" si="5"/>
        <v>-0.23255813953488372</v>
      </c>
      <c r="M12">
        <f t="shared" si="5"/>
        <v>-0.26666666666666666</v>
      </c>
      <c r="N12">
        <f t="shared" si="5"/>
        <v>-0.2978723404255319</v>
      </c>
      <c r="O12">
        <f t="shared" si="5"/>
        <v>-0.32653061224489793</v>
      </c>
    </row>
    <row r="13" spans="1:15" x14ac:dyDescent="0.25">
      <c r="A13">
        <v>17</v>
      </c>
      <c r="B13">
        <f t="shared" si="6"/>
        <v>-1.8333333333333333</v>
      </c>
      <c r="C13">
        <f t="shared" si="3"/>
        <v>-2.3611111111111107</v>
      </c>
      <c r="D13">
        <f t="shared" si="7"/>
        <v>-2.75</v>
      </c>
      <c r="E13">
        <f t="shared" si="8"/>
        <v>-6.5625</v>
      </c>
      <c r="F13">
        <f t="shared" si="9"/>
        <v>-5.5</v>
      </c>
      <c r="G13">
        <f t="shared" si="3"/>
        <v>-29.25</v>
      </c>
      <c r="H13">
        <f t="shared" si="3"/>
        <v>-52.777777777777771</v>
      </c>
      <c r="I13">
        <f t="shared" si="3"/>
        <v>-120</v>
      </c>
      <c r="J13">
        <f t="shared" si="4"/>
        <v>-4.041666666666667</v>
      </c>
      <c r="L13">
        <f t="shared" si="5"/>
        <v>-0.20930232558139536</v>
      </c>
      <c r="M13">
        <f t="shared" si="5"/>
        <v>-0.24444444444444444</v>
      </c>
      <c r="N13">
        <f t="shared" si="5"/>
        <v>-0.27659574468085107</v>
      </c>
      <c r="O13">
        <f t="shared" si="5"/>
        <v>-0.30612244897959184</v>
      </c>
    </row>
    <row r="14" spans="1:15" x14ac:dyDescent="0.25">
      <c r="A14">
        <v>17.5</v>
      </c>
      <c r="B14">
        <f t="shared" si="6"/>
        <v>-1.6666666666666667</v>
      </c>
      <c r="C14">
        <f t="shared" si="3"/>
        <v>-1.7777777777777781</v>
      </c>
      <c r="D14">
        <f t="shared" si="7"/>
        <v>-2.5</v>
      </c>
      <c r="E14">
        <f t="shared" si="8"/>
        <v>-5.25</v>
      </c>
      <c r="F14">
        <f t="shared" si="9"/>
        <v>-5</v>
      </c>
      <c r="G14">
        <f t="shared" si="3"/>
        <v>-24</v>
      </c>
      <c r="H14">
        <f t="shared" si="3"/>
        <v>-43.44444444444445</v>
      </c>
      <c r="I14">
        <f t="shared" si="3"/>
        <v>-99</v>
      </c>
      <c r="J14">
        <f t="shared" si="4"/>
        <v>-3.166666666666667</v>
      </c>
      <c r="L14">
        <f t="shared" si="5"/>
        <v>-0.18604651162790697</v>
      </c>
      <c r="M14">
        <f t="shared" si="5"/>
        <v>-0.22222222222222221</v>
      </c>
      <c r="N14">
        <f t="shared" si="5"/>
        <v>-0.25531914893617019</v>
      </c>
      <c r="O14">
        <f t="shared" si="5"/>
        <v>-0.2857142857142857</v>
      </c>
    </row>
    <row r="15" spans="1:15" x14ac:dyDescent="0.25">
      <c r="A15">
        <v>18</v>
      </c>
      <c r="B15">
        <f t="shared" si="6"/>
        <v>-1.5</v>
      </c>
      <c r="C15">
        <f t="shared" si="3"/>
        <v>-1.25</v>
      </c>
      <c r="D15">
        <f t="shared" si="7"/>
        <v>-2.25</v>
      </c>
      <c r="E15">
        <f t="shared" si="8"/>
        <v>-4.0625</v>
      </c>
      <c r="F15">
        <f t="shared" si="9"/>
        <v>-4.5</v>
      </c>
      <c r="G15">
        <f t="shared" si="3"/>
        <v>-19.25</v>
      </c>
      <c r="H15">
        <f t="shared" si="3"/>
        <v>-35</v>
      </c>
      <c r="I15">
        <f t="shared" si="3"/>
        <v>-80</v>
      </c>
      <c r="J15">
        <f t="shared" si="4"/>
        <v>-2.375</v>
      </c>
      <c r="L15">
        <f t="shared" si="5"/>
        <v>-0.16279069767441862</v>
      </c>
      <c r="M15">
        <f t="shared" si="5"/>
        <v>-0.2</v>
      </c>
      <c r="N15">
        <f t="shared" si="5"/>
        <v>-0.23404255319148937</v>
      </c>
      <c r="O15">
        <f t="shared" si="5"/>
        <v>-0.26530612244897961</v>
      </c>
    </row>
    <row r="16" spans="1:15" x14ac:dyDescent="0.25">
      <c r="A16">
        <v>18.5</v>
      </c>
      <c r="B16">
        <f t="shared" si="6"/>
        <v>-1.3333333333333333</v>
      </c>
      <c r="C16">
        <f t="shared" si="3"/>
        <v>-0.77777777777777768</v>
      </c>
      <c r="D16">
        <f t="shared" si="7"/>
        <v>-2</v>
      </c>
      <c r="E16">
        <f t="shared" si="8"/>
        <v>-3</v>
      </c>
      <c r="F16">
        <f t="shared" si="9"/>
        <v>-4</v>
      </c>
      <c r="G16">
        <f t="shared" si="3"/>
        <v>-15</v>
      </c>
      <c r="H16">
        <f t="shared" si="3"/>
        <v>-27.444444444444443</v>
      </c>
      <c r="I16">
        <f t="shared" si="3"/>
        <v>-63</v>
      </c>
      <c r="J16">
        <f t="shared" si="4"/>
        <v>-1.6666666666666665</v>
      </c>
      <c r="L16">
        <f t="shared" si="5"/>
        <v>-0.13953488372093023</v>
      </c>
      <c r="M16">
        <f t="shared" si="5"/>
        <v>-0.17777777777777778</v>
      </c>
      <c r="N16">
        <f t="shared" si="5"/>
        <v>-0.21276595744680851</v>
      </c>
      <c r="O16">
        <f t="shared" si="5"/>
        <v>-0.24489795918367346</v>
      </c>
    </row>
    <row r="17" spans="1:15" x14ac:dyDescent="0.25">
      <c r="A17">
        <v>19</v>
      </c>
      <c r="B17">
        <f t="shared" si="6"/>
        <v>-1.1666666666666667</v>
      </c>
      <c r="C17">
        <f t="shared" si="3"/>
        <v>-0.36111111111111138</v>
      </c>
      <c r="D17">
        <f t="shared" si="7"/>
        <v>-1.75</v>
      </c>
      <c r="E17">
        <f t="shared" si="8"/>
        <v>-2.0625</v>
      </c>
      <c r="F17">
        <f t="shared" si="9"/>
        <v>-3.5</v>
      </c>
      <c r="G17">
        <f t="shared" si="3"/>
        <v>-11.25</v>
      </c>
      <c r="H17">
        <f t="shared" si="3"/>
        <v>-20.777777777777782</v>
      </c>
      <c r="I17">
        <f t="shared" si="3"/>
        <v>-48</v>
      </c>
      <c r="J17">
        <f t="shared" si="4"/>
        <v>-1.0416666666666665</v>
      </c>
      <c r="L17">
        <f t="shared" si="5"/>
        <v>-0.11627906976744186</v>
      </c>
      <c r="M17">
        <f t="shared" si="5"/>
        <v>-0.15555555555555556</v>
      </c>
      <c r="N17">
        <f t="shared" si="5"/>
        <v>-0.19148936170212766</v>
      </c>
      <c r="O17">
        <f t="shared" si="5"/>
        <v>-0.22448979591836735</v>
      </c>
    </row>
    <row r="18" spans="1:15" x14ac:dyDescent="0.25">
      <c r="A18">
        <v>19.5</v>
      </c>
      <c r="B18">
        <f t="shared" si="6"/>
        <v>-1</v>
      </c>
      <c r="C18">
        <f t="shared" si="3"/>
        <v>0</v>
      </c>
      <c r="D18">
        <f t="shared" si="7"/>
        <v>-1.5</v>
      </c>
      <c r="E18">
        <f t="shared" si="8"/>
        <v>-1.25</v>
      </c>
      <c r="F18">
        <f t="shared" si="9"/>
        <v>-3</v>
      </c>
      <c r="G18">
        <f t="shared" si="3"/>
        <v>-8</v>
      </c>
      <c r="H18">
        <f t="shared" si="3"/>
        <v>-15</v>
      </c>
      <c r="I18">
        <f t="shared" si="3"/>
        <v>-35</v>
      </c>
      <c r="J18">
        <f t="shared" si="4"/>
        <v>-0.5</v>
      </c>
      <c r="L18">
        <f t="shared" si="5"/>
        <v>-9.3023255813953487E-2</v>
      </c>
      <c r="M18">
        <f t="shared" si="5"/>
        <v>-0.13333333333333333</v>
      </c>
      <c r="N18">
        <f t="shared" si="5"/>
        <v>-0.1702127659574468</v>
      </c>
      <c r="O18">
        <f t="shared" si="5"/>
        <v>-0.20408163265306123</v>
      </c>
    </row>
    <row r="19" spans="1:15" x14ac:dyDescent="0.25">
      <c r="A19">
        <v>20</v>
      </c>
      <c r="B19">
        <f t="shared" si="6"/>
        <v>-0.83333333333333337</v>
      </c>
      <c r="C19">
        <f t="shared" ref="C19:I28" si="10">1-(($A19-$B$6)/C$4)^2</f>
        <v>0.30555555555555547</v>
      </c>
      <c r="D19">
        <f t="shared" si="7"/>
        <v>-1.25</v>
      </c>
      <c r="E19">
        <f t="shared" si="8"/>
        <v>-0.5625</v>
      </c>
      <c r="F19">
        <f t="shared" si="9"/>
        <v>-2.5</v>
      </c>
      <c r="G19">
        <f t="shared" si="10"/>
        <v>-5.25</v>
      </c>
      <c r="H19">
        <f t="shared" si="10"/>
        <v>-10.111111111111112</v>
      </c>
      <c r="I19">
        <f t="shared" si="10"/>
        <v>-24</v>
      </c>
      <c r="J19">
        <f t="shared" si="4"/>
        <v>-4.1666666666666741E-2</v>
      </c>
      <c r="L19">
        <f t="shared" si="5"/>
        <v>-6.9767441860465115E-2</v>
      </c>
      <c r="M19">
        <f t="shared" si="5"/>
        <v>-0.1111111111111111</v>
      </c>
      <c r="N19">
        <f t="shared" si="5"/>
        <v>-0.14893617021276595</v>
      </c>
      <c r="O19">
        <f t="shared" si="5"/>
        <v>-0.18367346938775511</v>
      </c>
    </row>
    <row r="20" spans="1:15" x14ac:dyDescent="0.25">
      <c r="A20">
        <v>20.5</v>
      </c>
      <c r="B20">
        <f t="shared" si="6"/>
        <v>-0.66666666666666663</v>
      </c>
      <c r="C20">
        <f t="shared" si="10"/>
        <v>0.55555555555555558</v>
      </c>
      <c r="D20">
        <f t="shared" si="7"/>
        <v>-1</v>
      </c>
      <c r="E20">
        <f t="shared" si="8"/>
        <v>0</v>
      </c>
      <c r="F20">
        <f t="shared" si="9"/>
        <v>-2</v>
      </c>
      <c r="G20">
        <f t="shared" si="10"/>
        <v>-3</v>
      </c>
      <c r="H20">
        <f t="shared" si="10"/>
        <v>-6.1111111111111107</v>
      </c>
      <c r="I20">
        <f t="shared" si="10"/>
        <v>-15</v>
      </c>
      <c r="J20">
        <f t="shared" si="4"/>
        <v>0.33333333333333337</v>
      </c>
      <c r="L20">
        <f t="shared" si="5"/>
        <v>-4.6511627906976744E-2</v>
      </c>
      <c r="M20">
        <f t="shared" si="5"/>
        <v>-8.8888888888888892E-2</v>
      </c>
      <c r="N20">
        <f t="shared" si="5"/>
        <v>-0.1276595744680851</v>
      </c>
      <c r="O20">
        <f t="shared" si="5"/>
        <v>-0.16326530612244897</v>
      </c>
    </row>
    <row r="21" spans="1:15" x14ac:dyDescent="0.25">
      <c r="A21">
        <v>21</v>
      </c>
      <c r="B21">
        <f t="shared" si="6"/>
        <v>-0.5</v>
      </c>
      <c r="C21">
        <f t="shared" si="10"/>
        <v>0.75</v>
      </c>
      <c r="D21">
        <f t="shared" si="7"/>
        <v>-0.75</v>
      </c>
      <c r="E21">
        <f t="shared" si="8"/>
        <v>0.4375</v>
      </c>
      <c r="F21">
        <f t="shared" si="9"/>
        <v>-1.5</v>
      </c>
      <c r="G21">
        <f t="shared" si="10"/>
        <v>-1.25</v>
      </c>
      <c r="H21">
        <f t="shared" si="10"/>
        <v>-3</v>
      </c>
      <c r="I21">
        <f t="shared" si="10"/>
        <v>-8</v>
      </c>
      <c r="J21">
        <f t="shared" si="4"/>
        <v>0.625</v>
      </c>
      <c r="L21">
        <f t="shared" si="5"/>
        <v>-2.3255813953488372E-2</v>
      </c>
      <c r="M21">
        <f t="shared" si="5"/>
        <v>-6.6666666666666666E-2</v>
      </c>
      <c r="N21">
        <f t="shared" si="5"/>
        <v>-0.10638297872340426</v>
      </c>
      <c r="O21">
        <f t="shared" si="5"/>
        <v>-0.14285714285714285</v>
      </c>
    </row>
    <row r="22" spans="1:15" x14ac:dyDescent="0.25">
      <c r="A22" s="1">
        <v>21.5</v>
      </c>
      <c r="B22">
        <f t="shared" si="6"/>
        <v>-0.33333333333333331</v>
      </c>
      <c r="C22" s="1">
        <f t="shared" si="10"/>
        <v>0.88888888888888884</v>
      </c>
      <c r="D22">
        <f t="shared" si="7"/>
        <v>-0.5</v>
      </c>
      <c r="E22">
        <f t="shared" si="8"/>
        <v>0.75</v>
      </c>
      <c r="F22" s="1">
        <f t="shared" si="9"/>
        <v>-1</v>
      </c>
      <c r="G22" s="1">
        <f t="shared" si="10"/>
        <v>0</v>
      </c>
      <c r="H22">
        <f t="shared" si="10"/>
        <v>-0.77777777777777768</v>
      </c>
      <c r="I22">
        <f t="shared" si="10"/>
        <v>-3</v>
      </c>
      <c r="J22">
        <f t="shared" si="4"/>
        <v>0.83333333333333337</v>
      </c>
      <c r="L22">
        <f t="shared" si="5"/>
        <v>0</v>
      </c>
      <c r="M22">
        <f t="shared" si="5"/>
        <v>-4.4444444444444446E-2</v>
      </c>
      <c r="N22">
        <f t="shared" si="5"/>
        <v>-8.5106382978723402E-2</v>
      </c>
      <c r="O22">
        <f t="shared" si="5"/>
        <v>-0.12244897959183673</v>
      </c>
    </row>
    <row r="23" spans="1:15" x14ac:dyDescent="0.25">
      <c r="A23" s="1">
        <v>22</v>
      </c>
      <c r="B23">
        <f t="shared" si="6"/>
        <v>-0.16666666666666666</v>
      </c>
      <c r="C23" s="1">
        <f t="shared" si="10"/>
        <v>0.97222222222222221</v>
      </c>
      <c r="D23">
        <f t="shared" si="7"/>
        <v>-0.25</v>
      </c>
      <c r="E23">
        <f t="shared" si="8"/>
        <v>0.9375</v>
      </c>
      <c r="F23" s="1">
        <f t="shared" si="9"/>
        <v>-0.5</v>
      </c>
      <c r="G23" s="1">
        <f t="shared" si="10"/>
        <v>0.75</v>
      </c>
      <c r="H23">
        <f t="shared" si="10"/>
        <v>0.55555555555555558</v>
      </c>
      <c r="I23">
        <f t="shared" si="10"/>
        <v>0</v>
      </c>
      <c r="J23">
        <f t="shared" si="4"/>
        <v>0.95833333333333337</v>
      </c>
      <c r="L23">
        <f t="shared" si="5"/>
        <v>2.3255813953488372E-2</v>
      </c>
      <c r="M23">
        <f t="shared" si="5"/>
        <v>-2.2222222222222223E-2</v>
      </c>
      <c r="N23">
        <f t="shared" si="5"/>
        <v>-6.3829787234042548E-2</v>
      </c>
      <c r="O23">
        <f t="shared" si="5"/>
        <v>-0.10204081632653061</v>
      </c>
    </row>
    <row r="24" spans="1:15" x14ac:dyDescent="0.25">
      <c r="A24" s="1">
        <v>22.5</v>
      </c>
      <c r="B24">
        <f t="shared" si="6"/>
        <v>0</v>
      </c>
      <c r="C24" s="1">
        <f t="shared" si="10"/>
        <v>1</v>
      </c>
      <c r="D24">
        <f t="shared" si="7"/>
        <v>0</v>
      </c>
      <c r="E24">
        <f t="shared" si="8"/>
        <v>1</v>
      </c>
      <c r="F24" s="1">
        <f t="shared" si="9"/>
        <v>0</v>
      </c>
      <c r="G24" s="1">
        <f t="shared" si="10"/>
        <v>1</v>
      </c>
      <c r="H24">
        <f t="shared" si="10"/>
        <v>1</v>
      </c>
      <c r="I24">
        <f t="shared" si="10"/>
        <v>1</v>
      </c>
      <c r="J24">
        <f t="shared" si="4"/>
        <v>1</v>
      </c>
      <c r="L24">
        <f t="shared" si="5"/>
        <v>4.6511627906976744E-2</v>
      </c>
      <c r="M24">
        <f t="shared" si="5"/>
        <v>0</v>
      </c>
      <c r="N24">
        <f t="shared" si="5"/>
        <v>-4.2553191489361701E-2</v>
      </c>
      <c r="O24">
        <f t="shared" si="5"/>
        <v>-8.1632653061224483E-2</v>
      </c>
    </row>
    <row r="25" spans="1:15" x14ac:dyDescent="0.25">
      <c r="A25">
        <v>23</v>
      </c>
      <c r="B25">
        <f t="shared" si="6"/>
        <v>0.16666666666666666</v>
      </c>
      <c r="C25">
        <f t="shared" si="10"/>
        <v>0.97222222222222221</v>
      </c>
      <c r="D25">
        <f t="shared" si="7"/>
        <v>0.25</v>
      </c>
      <c r="E25">
        <f t="shared" si="8"/>
        <v>0.9375</v>
      </c>
      <c r="F25">
        <f t="shared" si="9"/>
        <v>0.5</v>
      </c>
      <c r="G25">
        <f t="shared" si="10"/>
        <v>0.75</v>
      </c>
      <c r="H25">
        <f t="shared" si="10"/>
        <v>0.55555555555555558</v>
      </c>
      <c r="I25">
        <f t="shared" si="10"/>
        <v>0</v>
      </c>
      <c r="J25">
        <f t="shared" si="4"/>
        <v>0.95833333333333337</v>
      </c>
      <c r="L25">
        <f t="shared" si="5"/>
        <v>6.9767441860465115E-2</v>
      </c>
      <c r="M25">
        <f t="shared" si="5"/>
        <v>2.2222222222222223E-2</v>
      </c>
      <c r="N25">
        <f t="shared" si="5"/>
        <v>-2.1276595744680851E-2</v>
      </c>
      <c r="O25">
        <f t="shared" si="5"/>
        <v>-6.1224489795918366E-2</v>
      </c>
    </row>
    <row r="26" spans="1:15" x14ac:dyDescent="0.25">
      <c r="A26">
        <v>23.5</v>
      </c>
      <c r="B26">
        <f t="shared" si="6"/>
        <v>0.33333333333333331</v>
      </c>
      <c r="C26">
        <f t="shared" si="10"/>
        <v>0.88888888888888884</v>
      </c>
      <c r="D26">
        <f t="shared" si="7"/>
        <v>0.5</v>
      </c>
      <c r="E26">
        <f t="shared" si="8"/>
        <v>0.75</v>
      </c>
      <c r="F26">
        <f t="shared" si="9"/>
        <v>1</v>
      </c>
      <c r="G26">
        <f t="shared" si="10"/>
        <v>0</v>
      </c>
      <c r="H26">
        <f t="shared" si="10"/>
        <v>-0.77777777777777768</v>
      </c>
      <c r="I26">
        <f t="shared" si="10"/>
        <v>-3</v>
      </c>
      <c r="J26">
        <f t="shared" si="4"/>
        <v>0.83333333333333337</v>
      </c>
      <c r="L26">
        <f t="shared" si="5"/>
        <v>9.3023255813953487E-2</v>
      </c>
      <c r="M26">
        <f t="shared" si="5"/>
        <v>4.4444444444444446E-2</v>
      </c>
      <c r="N26">
        <f t="shared" si="5"/>
        <v>0</v>
      </c>
      <c r="O26">
        <f t="shared" si="5"/>
        <v>-4.0816326530612242E-2</v>
      </c>
    </row>
    <row r="27" spans="1:15" x14ac:dyDescent="0.25">
      <c r="A27">
        <v>24</v>
      </c>
      <c r="B27">
        <f t="shared" si="6"/>
        <v>0.5</v>
      </c>
      <c r="C27">
        <f t="shared" si="10"/>
        <v>0.75</v>
      </c>
      <c r="D27">
        <f t="shared" si="7"/>
        <v>0.75</v>
      </c>
      <c r="E27">
        <f t="shared" si="8"/>
        <v>0.4375</v>
      </c>
      <c r="F27">
        <f t="shared" si="9"/>
        <v>1.5</v>
      </c>
      <c r="G27">
        <f t="shared" si="10"/>
        <v>-1.25</v>
      </c>
      <c r="H27">
        <f t="shared" si="10"/>
        <v>-3</v>
      </c>
      <c r="I27">
        <f t="shared" si="10"/>
        <v>-8</v>
      </c>
      <c r="J27">
        <f t="shared" si="4"/>
        <v>0.625</v>
      </c>
      <c r="L27">
        <f t="shared" si="5"/>
        <v>0.11627906976744186</v>
      </c>
      <c r="M27">
        <f t="shared" si="5"/>
        <v>6.6666666666666666E-2</v>
      </c>
      <c r="N27">
        <f t="shared" si="5"/>
        <v>2.1276595744680851E-2</v>
      </c>
      <c r="O27">
        <f t="shared" si="5"/>
        <v>-2.0408163265306121E-2</v>
      </c>
    </row>
    <row r="28" spans="1:15" x14ac:dyDescent="0.25">
      <c r="A28">
        <v>24.5</v>
      </c>
      <c r="B28">
        <f t="shared" si="6"/>
        <v>0.66666666666666663</v>
      </c>
      <c r="C28">
        <f t="shared" si="10"/>
        <v>0.55555555555555558</v>
      </c>
      <c r="D28">
        <f t="shared" si="7"/>
        <v>1</v>
      </c>
      <c r="E28">
        <f t="shared" si="8"/>
        <v>0</v>
      </c>
      <c r="F28">
        <f t="shared" si="9"/>
        <v>2</v>
      </c>
      <c r="G28">
        <f t="shared" si="10"/>
        <v>-3</v>
      </c>
      <c r="H28">
        <f t="shared" si="10"/>
        <v>-6.1111111111111107</v>
      </c>
      <c r="I28">
        <f t="shared" si="10"/>
        <v>-15</v>
      </c>
      <c r="J28">
        <f t="shared" si="4"/>
        <v>0.33333333333333337</v>
      </c>
      <c r="L28">
        <f t="shared" si="5"/>
        <v>0.13953488372093023</v>
      </c>
      <c r="M28">
        <f t="shared" si="5"/>
        <v>8.8888888888888892E-2</v>
      </c>
      <c r="N28">
        <f t="shared" si="5"/>
        <v>4.2553191489361701E-2</v>
      </c>
      <c r="O28">
        <f t="shared" si="5"/>
        <v>0</v>
      </c>
    </row>
    <row r="29" spans="1:15" x14ac:dyDescent="0.25">
      <c r="A29">
        <v>25</v>
      </c>
      <c r="B29">
        <f t="shared" si="6"/>
        <v>0.83333333333333337</v>
      </c>
      <c r="C29">
        <f t="shared" ref="C29:I39" si="11">1-(($A29-$B$6)/C$4)^2</f>
        <v>0.30555555555555547</v>
      </c>
      <c r="D29">
        <f t="shared" si="7"/>
        <v>1.25</v>
      </c>
      <c r="E29">
        <f t="shared" si="8"/>
        <v>-0.5625</v>
      </c>
      <c r="F29">
        <f t="shared" si="9"/>
        <v>2.5</v>
      </c>
      <c r="G29">
        <f t="shared" si="11"/>
        <v>-5.25</v>
      </c>
      <c r="H29">
        <f t="shared" si="11"/>
        <v>-10.111111111111112</v>
      </c>
      <c r="I29">
        <f t="shared" si="11"/>
        <v>-24</v>
      </c>
      <c r="J29">
        <f t="shared" si="4"/>
        <v>-4.1666666666666741E-2</v>
      </c>
      <c r="L29">
        <f t="shared" si="5"/>
        <v>0.16279069767441862</v>
      </c>
      <c r="M29">
        <f t="shared" si="5"/>
        <v>0.1111111111111111</v>
      </c>
      <c r="N29">
        <f t="shared" si="5"/>
        <v>6.3829787234042548E-2</v>
      </c>
      <c r="O29">
        <f t="shared" si="5"/>
        <v>2.0408163265306121E-2</v>
      </c>
    </row>
    <row r="30" spans="1:15" x14ac:dyDescent="0.25">
      <c r="A30">
        <v>25.5</v>
      </c>
      <c r="B30">
        <f t="shared" si="6"/>
        <v>1</v>
      </c>
      <c r="C30">
        <f t="shared" si="11"/>
        <v>0</v>
      </c>
      <c r="D30">
        <f t="shared" si="7"/>
        <v>1.5</v>
      </c>
      <c r="E30">
        <f t="shared" si="8"/>
        <v>-1.25</v>
      </c>
      <c r="F30">
        <f t="shared" si="9"/>
        <v>3</v>
      </c>
      <c r="G30">
        <f t="shared" si="11"/>
        <v>-8</v>
      </c>
      <c r="H30">
        <f t="shared" si="11"/>
        <v>-15</v>
      </c>
      <c r="I30">
        <f t="shared" si="11"/>
        <v>-35</v>
      </c>
      <c r="J30">
        <f t="shared" si="4"/>
        <v>-0.5</v>
      </c>
      <c r="L30">
        <f t="shared" si="5"/>
        <v>0.18604651162790697</v>
      </c>
      <c r="M30">
        <f t="shared" si="5"/>
        <v>0.13333333333333333</v>
      </c>
      <c r="N30">
        <f t="shared" si="5"/>
        <v>8.5106382978723402E-2</v>
      </c>
      <c r="O30">
        <f t="shared" si="5"/>
        <v>4.0816326530612242E-2</v>
      </c>
    </row>
    <row r="31" spans="1:15" x14ac:dyDescent="0.25">
      <c r="A31">
        <v>26</v>
      </c>
      <c r="B31">
        <f t="shared" si="6"/>
        <v>1.1666666666666667</v>
      </c>
      <c r="C31">
        <f t="shared" si="11"/>
        <v>-0.36111111111111138</v>
      </c>
      <c r="D31">
        <f t="shared" si="7"/>
        <v>1.75</v>
      </c>
      <c r="E31">
        <f t="shared" si="8"/>
        <v>-2.0625</v>
      </c>
      <c r="F31">
        <f t="shared" si="9"/>
        <v>3.5</v>
      </c>
      <c r="G31">
        <f t="shared" si="11"/>
        <v>-11.25</v>
      </c>
      <c r="H31">
        <f t="shared" si="11"/>
        <v>-20.777777777777782</v>
      </c>
      <c r="I31">
        <f t="shared" si="11"/>
        <v>-48</v>
      </c>
      <c r="J31">
        <f t="shared" si="4"/>
        <v>-1.0416666666666665</v>
      </c>
      <c r="L31">
        <f t="shared" si="5"/>
        <v>0.20930232558139536</v>
      </c>
      <c r="M31">
        <f t="shared" si="5"/>
        <v>0.15555555555555556</v>
      </c>
      <c r="N31">
        <f t="shared" si="5"/>
        <v>0.10638297872340426</v>
      </c>
      <c r="O31">
        <f t="shared" si="5"/>
        <v>6.1224489795918366E-2</v>
      </c>
    </row>
    <row r="32" spans="1:15" x14ac:dyDescent="0.25">
      <c r="A32">
        <v>26.5</v>
      </c>
      <c r="B32">
        <f t="shared" si="6"/>
        <v>1.3333333333333333</v>
      </c>
      <c r="C32">
        <f t="shared" si="11"/>
        <v>-0.77777777777777768</v>
      </c>
      <c r="D32">
        <f t="shared" si="7"/>
        <v>2</v>
      </c>
      <c r="E32">
        <f t="shared" si="8"/>
        <v>-3</v>
      </c>
      <c r="F32">
        <f t="shared" si="9"/>
        <v>4</v>
      </c>
      <c r="G32">
        <f t="shared" si="11"/>
        <v>-15</v>
      </c>
      <c r="H32">
        <f t="shared" si="11"/>
        <v>-27.444444444444443</v>
      </c>
      <c r="I32">
        <f t="shared" si="11"/>
        <v>-63</v>
      </c>
      <c r="J32">
        <f t="shared" si="4"/>
        <v>-1.6666666666666665</v>
      </c>
      <c r="L32">
        <f t="shared" si="5"/>
        <v>0.23255813953488372</v>
      </c>
      <c r="M32">
        <f t="shared" si="5"/>
        <v>0.17777777777777778</v>
      </c>
      <c r="N32">
        <f t="shared" si="5"/>
        <v>0.1276595744680851</v>
      </c>
      <c r="O32">
        <f t="shared" si="5"/>
        <v>8.1632653061224483E-2</v>
      </c>
    </row>
    <row r="33" spans="1:15" x14ac:dyDescent="0.25">
      <c r="A33">
        <v>27</v>
      </c>
      <c r="B33">
        <f t="shared" si="6"/>
        <v>1.5</v>
      </c>
      <c r="C33">
        <f t="shared" si="11"/>
        <v>-1.25</v>
      </c>
      <c r="D33">
        <f t="shared" si="7"/>
        <v>2.25</v>
      </c>
      <c r="E33">
        <f t="shared" si="8"/>
        <v>-4.0625</v>
      </c>
      <c r="F33">
        <f t="shared" si="9"/>
        <v>4.5</v>
      </c>
      <c r="G33">
        <f t="shared" si="11"/>
        <v>-19.25</v>
      </c>
      <c r="H33">
        <f t="shared" si="11"/>
        <v>-35</v>
      </c>
      <c r="I33">
        <f t="shared" si="11"/>
        <v>-80</v>
      </c>
      <c r="J33">
        <f t="shared" si="4"/>
        <v>-2.375</v>
      </c>
      <c r="L33">
        <f t="shared" si="5"/>
        <v>0.2558139534883721</v>
      </c>
      <c r="M33">
        <f t="shared" si="5"/>
        <v>0.2</v>
      </c>
      <c r="N33">
        <f t="shared" si="5"/>
        <v>0.14893617021276595</v>
      </c>
      <c r="O33">
        <f t="shared" si="5"/>
        <v>0.10204081632653061</v>
      </c>
    </row>
    <row r="34" spans="1:15" x14ac:dyDescent="0.25">
      <c r="A34">
        <v>27.5</v>
      </c>
      <c r="B34">
        <f t="shared" si="6"/>
        <v>1.6666666666666667</v>
      </c>
      <c r="C34">
        <f t="shared" si="11"/>
        <v>-1.7777777777777781</v>
      </c>
      <c r="D34">
        <f t="shared" si="7"/>
        <v>2.5</v>
      </c>
      <c r="E34">
        <f t="shared" si="8"/>
        <v>-5.25</v>
      </c>
      <c r="F34">
        <f t="shared" si="9"/>
        <v>5</v>
      </c>
      <c r="G34">
        <f t="shared" si="11"/>
        <v>-24</v>
      </c>
      <c r="H34">
        <f t="shared" si="11"/>
        <v>-43.44444444444445</v>
      </c>
      <c r="I34">
        <f t="shared" si="11"/>
        <v>-99</v>
      </c>
      <c r="J34">
        <f t="shared" si="4"/>
        <v>-3.166666666666667</v>
      </c>
      <c r="L34">
        <f t="shared" si="5"/>
        <v>0.27906976744186046</v>
      </c>
      <c r="M34">
        <f t="shared" si="5"/>
        <v>0.22222222222222221</v>
      </c>
      <c r="N34">
        <f t="shared" si="5"/>
        <v>0.1702127659574468</v>
      </c>
      <c r="O34">
        <f t="shared" si="5"/>
        <v>0.12244897959183673</v>
      </c>
    </row>
    <row r="35" spans="1:15" x14ac:dyDescent="0.25">
      <c r="A35">
        <v>28</v>
      </c>
      <c r="B35">
        <f t="shared" si="6"/>
        <v>1.8333333333333333</v>
      </c>
      <c r="C35">
        <f t="shared" si="11"/>
        <v>-2.3611111111111107</v>
      </c>
      <c r="D35">
        <f t="shared" si="7"/>
        <v>2.75</v>
      </c>
      <c r="E35">
        <f t="shared" si="8"/>
        <v>-6.5625</v>
      </c>
      <c r="F35">
        <f t="shared" si="9"/>
        <v>5.5</v>
      </c>
      <c r="G35">
        <f t="shared" si="11"/>
        <v>-29.25</v>
      </c>
      <c r="H35">
        <f t="shared" si="11"/>
        <v>-52.777777777777771</v>
      </c>
      <c r="I35">
        <f t="shared" si="11"/>
        <v>-120</v>
      </c>
      <c r="J35">
        <f t="shared" si="4"/>
        <v>-4.041666666666667</v>
      </c>
      <c r="L35">
        <f t="shared" si="5"/>
        <v>0.30232558139534882</v>
      </c>
      <c r="M35">
        <f t="shared" si="5"/>
        <v>0.24444444444444444</v>
      </c>
      <c r="N35">
        <f t="shared" si="5"/>
        <v>0.19148936170212766</v>
      </c>
      <c r="O35">
        <f t="shared" si="5"/>
        <v>0.14285714285714285</v>
      </c>
    </row>
    <row r="36" spans="1:15" x14ac:dyDescent="0.25">
      <c r="A36">
        <v>28.5</v>
      </c>
      <c r="B36">
        <f t="shared" si="6"/>
        <v>2</v>
      </c>
      <c r="C36">
        <f t="shared" si="11"/>
        <v>-3</v>
      </c>
      <c r="D36">
        <f t="shared" si="7"/>
        <v>3</v>
      </c>
      <c r="E36">
        <f t="shared" si="8"/>
        <v>-8</v>
      </c>
      <c r="F36">
        <f t="shared" si="9"/>
        <v>6</v>
      </c>
      <c r="G36">
        <f t="shared" si="11"/>
        <v>-35</v>
      </c>
      <c r="H36">
        <f t="shared" si="11"/>
        <v>-63</v>
      </c>
      <c r="I36">
        <f t="shared" si="11"/>
        <v>-143</v>
      </c>
      <c r="J36">
        <f t="shared" si="4"/>
        <v>-5</v>
      </c>
      <c r="L36">
        <f t="shared" si="5"/>
        <v>0.32558139534883723</v>
      </c>
      <c r="M36">
        <f t="shared" si="5"/>
        <v>0.26666666666666666</v>
      </c>
      <c r="N36">
        <f t="shared" si="5"/>
        <v>0.21276595744680851</v>
      </c>
      <c r="O36">
        <f t="shared" si="5"/>
        <v>0.16326530612244897</v>
      </c>
    </row>
    <row r="37" spans="1:15" x14ac:dyDescent="0.25">
      <c r="A37">
        <v>29</v>
      </c>
      <c r="B37">
        <f t="shared" si="6"/>
        <v>2.1666666666666665</v>
      </c>
      <c r="C37">
        <f t="shared" si="11"/>
        <v>-3.6944444444444438</v>
      </c>
      <c r="D37">
        <f t="shared" si="7"/>
        <v>3.25</v>
      </c>
      <c r="E37">
        <f t="shared" si="8"/>
        <v>-9.5625</v>
      </c>
      <c r="F37">
        <f t="shared" si="9"/>
        <v>6.5</v>
      </c>
      <c r="G37">
        <f t="shared" si="11"/>
        <v>-41.25</v>
      </c>
      <c r="H37">
        <f t="shared" si="11"/>
        <v>-74.1111111111111</v>
      </c>
      <c r="I37">
        <f t="shared" si="11"/>
        <v>-168</v>
      </c>
      <c r="J37">
        <f t="shared" si="4"/>
        <v>-6.041666666666667</v>
      </c>
      <c r="L37">
        <f t="shared" si="5"/>
        <v>0.34883720930232559</v>
      </c>
      <c r="M37">
        <f t="shared" si="5"/>
        <v>0.28888888888888886</v>
      </c>
      <c r="N37">
        <f t="shared" si="5"/>
        <v>0.23404255319148937</v>
      </c>
      <c r="O37">
        <f t="shared" si="5"/>
        <v>0.18367346938775511</v>
      </c>
    </row>
    <row r="38" spans="1:15" x14ac:dyDescent="0.25">
      <c r="A38">
        <v>29.5</v>
      </c>
      <c r="B38">
        <f t="shared" si="6"/>
        <v>2.3333333333333335</v>
      </c>
      <c r="C38">
        <f t="shared" si="11"/>
        <v>-4.4444444444444455</v>
      </c>
      <c r="D38">
        <f t="shared" si="7"/>
        <v>3.5</v>
      </c>
      <c r="E38">
        <f t="shared" si="8"/>
        <v>-11.25</v>
      </c>
      <c r="F38">
        <f t="shared" si="9"/>
        <v>7</v>
      </c>
      <c r="G38">
        <f t="shared" si="11"/>
        <v>-48</v>
      </c>
      <c r="H38">
        <f t="shared" si="11"/>
        <v>-86.111111111111128</v>
      </c>
      <c r="I38">
        <f t="shared" si="11"/>
        <v>-195</v>
      </c>
      <c r="J38">
        <f t="shared" si="4"/>
        <v>-7.1666666666666661</v>
      </c>
      <c r="L38">
        <f t="shared" si="5"/>
        <v>0.37209302325581395</v>
      </c>
      <c r="M38">
        <f t="shared" si="5"/>
        <v>0.31111111111111112</v>
      </c>
      <c r="N38">
        <f t="shared" si="5"/>
        <v>0.25531914893617019</v>
      </c>
      <c r="O38">
        <f t="shared" si="5"/>
        <v>0.20408163265306123</v>
      </c>
    </row>
    <row r="39" spans="1:15" x14ac:dyDescent="0.25">
      <c r="A39">
        <v>30</v>
      </c>
      <c r="B39">
        <f t="shared" si="6"/>
        <v>2.5</v>
      </c>
      <c r="C39">
        <f t="shared" si="11"/>
        <v>-5.25</v>
      </c>
      <c r="D39">
        <f t="shared" si="7"/>
        <v>3.75</v>
      </c>
      <c r="E39">
        <f t="shared" si="8"/>
        <v>-13.0625</v>
      </c>
      <c r="F39">
        <f t="shared" si="9"/>
        <v>7.5</v>
      </c>
      <c r="G39">
        <f t="shared" si="11"/>
        <v>-55.25</v>
      </c>
      <c r="H39">
        <f t="shared" si="11"/>
        <v>-99</v>
      </c>
      <c r="I39">
        <f t="shared" si="11"/>
        <v>-224</v>
      </c>
      <c r="J39">
        <f t="shared" si="4"/>
        <v>-8.375</v>
      </c>
      <c r="L39">
        <f t="shared" si="5"/>
        <v>0.39534883720930231</v>
      </c>
      <c r="M39">
        <f t="shared" si="5"/>
        <v>0.33333333333333331</v>
      </c>
      <c r="N39">
        <f t="shared" si="5"/>
        <v>0.27659574468085107</v>
      </c>
      <c r="O39">
        <f t="shared" si="5"/>
        <v>0.22448979591836735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197C-912F-49B1-B85B-33F45B916F22}">
  <dimension ref="A1:O39"/>
  <sheetViews>
    <sheetView tabSelected="1" workbookViewId="0">
      <selection activeCell="B39" sqref="B39"/>
    </sheetView>
  </sheetViews>
  <sheetFormatPr defaultRowHeight="15" x14ac:dyDescent="0.25"/>
  <cols>
    <col min="3" max="3" width="21.85546875" bestFit="1" customWidth="1"/>
    <col min="4" max="4" width="21.85546875" customWidth="1"/>
    <col min="5" max="5" width="21.42578125" bestFit="1" customWidth="1"/>
    <col min="6" max="6" width="21.42578125" customWidth="1"/>
    <col min="7" max="7" width="21.42578125" bestFit="1" customWidth="1"/>
    <col min="8" max="8" width="24" bestFit="1" customWidth="1"/>
    <col min="9" max="9" width="17.42578125" bestFit="1" customWidth="1"/>
    <col min="10" max="10" width="13.5703125" bestFit="1" customWidth="1"/>
  </cols>
  <sheetData>
    <row r="1" spans="1:15" x14ac:dyDescent="0.25">
      <c r="A1" t="s">
        <v>0</v>
      </c>
      <c r="C1">
        <f>$B$6+C4</f>
        <v>25.5</v>
      </c>
      <c r="E1">
        <f>$B$6+E4</f>
        <v>24.5</v>
      </c>
      <c r="G1">
        <f>$B$6+G4</f>
        <v>23.5</v>
      </c>
      <c r="H1">
        <f>$B$6+H4</f>
        <v>23.25</v>
      </c>
      <c r="I1">
        <f t="shared" ref="I1" si="0">$B$6+I4</f>
        <v>23</v>
      </c>
      <c r="J1">
        <f>$B$6+J4</f>
        <v>22.6</v>
      </c>
    </row>
    <row r="2" spans="1:15" x14ac:dyDescent="0.25">
      <c r="A2" t="s">
        <v>1</v>
      </c>
      <c r="C2">
        <f>$B$6-C4</f>
        <v>19.5</v>
      </c>
      <c r="E2">
        <f>$B$6-E4</f>
        <v>20.5</v>
      </c>
      <c r="G2">
        <f>$B$6-G4</f>
        <v>21.5</v>
      </c>
      <c r="H2">
        <f>$B$6-H4</f>
        <v>21.75</v>
      </c>
      <c r="I2">
        <f t="shared" ref="I2" si="1">$B$6-I4</f>
        <v>22</v>
      </c>
      <c r="J2">
        <f>$B$6-J4</f>
        <v>22.4</v>
      </c>
    </row>
    <row r="3" spans="1:15" x14ac:dyDescent="0.25">
      <c r="C3">
        <f>AVERAGE(C1:C2)</f>
        <v>22.5</v>
      </c>
      <c r="E3">
        <f>AVERAGE(E1:E2)</f>
        <v>22.5</v>
      </c>
      <c r="G3">
        <f>AVERAGE(G1:G2)</f>
        <v>22.5</v>
      </c>
      <c r="H3">
        <f>AVERAGE(H1:H2)</f>
        <v>22.5</v>
      </c>
      <c r="I3">
        <f t="shared" ref="I3" si="2">AVERAGE(I1:I2)</f>
        <v>22.5</v>
      </c>
      <c r="J3">
        <f>AVERAGE(J1:J2)</f>
        <v>22.5</v>
      </c>
    </row>
    <row r="4" spans="1:15" x14ac:dyDescent="0.25">
      <c r="A4" s="1" t="s">
        <v>5</v>
      </c>
      <c r="B4" s="1"/>
      <c r="C4" s="1">
        <v>3</v>
      </c>
      <c r="D4" s="1"/>
      <c r="E4" s="1">
        <v>2</v>
      </c>
      <c r="F4" s="1"/>
      <c r="G4" s="1">
        <v>1</v>
      </c>
      <c r="H4" s="1">
        <v>0.75</v>
      </c>
      <c r="I4" s="1">
        <v>0.5</v>
      </c>
      <c r="J4" s="1">
        <v>0.1</v>
      </c>
      <c r="K4" t="s">
        <v>30</v>
      </c>
    </row>
    <row r="5" spans="1:15" x14ac:dyDescent="0.25">
      <c r="A5" t="s">
        <v>15</v>
      </c>
      <c r="B5">
        <v>0.7</v>
      </c>
    </row>
    <row r="6" spans="1:15" x14ac:dyDescent="0.25">
      <c r="A6" t="s">
        <v>4</v>
      </c>
      <c r="B6">
        <v>22.5</v>
      </c>
    </row>
    <row r="8" spans="1:15" x14ac:dyDescent="0.25">
      <c r="A8" t="s">
        <v>2</v>
      </c>
      <c r="B8" t="s">
        <v>32</v>
      </c>
      <c r="C8" t="s">
        <v>36</v>
      </c>
      <c r="D8" t="s">
        <v>31</v>
      </c>
      <c r="E8" t="s">
        <v>35</v>
      </c>
      <c r="F8" t="s">
        <v>29</v>
      </c>
      <c r="G8" t="s">
        <v>34</v>
      </c>
      <c r="H8" t="s">
        <v>33</v>
      </c>
      <c r="I8" t="s">
        <v>37</v>
      </c>
      <c r="L8">
        <v>21.5</v>
      </c>
      <c r="M8">
        <v>22.5</v>
      </c>
      <c r="N8">
        <v>23.5</v>
      </c>
      <c r="O8">
        <v>24.5</v>
      </c>
    </row>
    <row r="9" spans="1:15" x14ac:dyDescent="0.25">
      <c r="A9">
        <v>15</v>
      </c>
      <c r="B9">
        <f>(A9-AVERAGE(C$1:C$2))/$C$4</f>
        <v>-2.5</v>
      </c>
      <c r="C9">
        <f>IF(ABS($A9-$B$6)&lt;C$4,1,1-(($A9-$B$6)/C$4)^2)</f>
        <v>-5.25</v>
      </c>
      <c r="D9">
        <f>($A9-$E$3)/($E$4)</f>
        <v>-3.75</v>
      </c>
      <c r="E9">
        <f>IF(ABS($A9-$B$6)&lt;E$4,1,1-(($A9-$B$6)/E$4)^2)</f>
        <v>-13.0625</v>
      </c>
      <c r="F9">
        <f>($A9-$G$3)/($G$4)</f>
        <v>-7.5</v>
      </c>
      <c r="G9">
        <f>IF(ABS($A9-$B$6)&lt;G$4,1,1-(($A9-$B$6)/G$4)^2)</f>
        <v>-55.25</v>
      </c>
      <c r="H9">
        <f>IF(ABS($A9-$B$6)&lt;H$4,1,1-(($A9-$B$6)/H$4)^2)</f>
        <v>-99</v>
      </c>
      <c r="I9">
        <f>IF(ABS($A9-$B$6)&lt;I$4,1,1-(($A9-$B$6)/I$4)^2)</f>
        <v>-224</v>
      </c>
      <c r="L9">
        <f t="shared" ref="L9:O39" si="3">($A9-L$8)/L$8</f>
        <v>-0.30232558139534882</v>
      </c>
      <c r="M9">
        <f t="shared" si="3"/>
        <v>-0.33333333333333331</v>
      </c>
      <c r="N9">
        <f t="shared" si="3"/>
        <v>-0.36170212765957449</v>
      </c>
      <c r="O9">
        <f t="shared" si="3"/>
        <v>-0.38775510204081631</v>
      </c>
    </row>
    <row r="10" spans="1:15" x14ac:dyDescent="0.25">
      <c r="A10">
        <v>15.5</v>
      </c>
      <c r="B10">
        <f t="shared" ref="B10:B39" si="4">(A10-AVERAGE(C$1:C$2))/$C$4</f>
        <v>-2.3333333333333335</v>
      </c>
      <c r="C10">
        <f t="shared" ref="C10:C39" si="5">IF(ABS($A10-$B$6)&lt;C$4,1,1-(($A10-$B$6)/C$4)^2)</f>
        <v>-4.4444444444444455</v>
      </c>
      <c r="D10">
        <f t="shared" ref="D10:D39" si="6">($A10-$E$3)/($E$4)</f>
        <v>-3.5</v>
      </c>
      <c r="E10">
        <f t="shared" ref="E10:I39" si="7">IF(ABS($A10-$B$6)&lt;E$4,1,1-(($A10-$B$6)/E$4)^2)</f>
        <v>-11.25</v>
      </c>
      <c r="F10">
        <f t="shared" ref="F10:F39" si="8">($A10-$G$3)/($G$4)</f>
        <v>-7</v>
      </c>
      <c r="G10">
        <f t="shared" si="7"/>
        <v>-48</v>
      </c>
      <c r="H10">
        <f t="shared" si="7"/>
        <v>-86.111111111111128</v>
      </c>
      <c r="I10">
        <f t="shared" si="7"/>
        <v>-195</v>
      </c>
      <c r="L10">
        <f t="shared" si="3"/>
        <v>-0.27906976744186046</v>
      </c>
      <c r="M10">
        <f t="shared" si="3"/>
        <v>-0.31111111111111112</v>
      </c>
      <c r="N10">
        <f t="shared" si="3"/>
        <v>-0.34042553191489361</v>
      </c>
      <c r="O10">
        <f t="shared" si="3"/>
        <v>-0.36734693877551022</v>
      </c>
    </row>
    <row r="11" spans="1:15" x14ac:dyDescent="0.25">
      <c r="A11">
        <v>16</v>
      </c>
      <c r="B11">
        <f t="shared" si="4"/>
        <v>-2.1666666666666665</v>
      </c>
      <c r="C11">
        <f t="shared" si="5"/>
        <v>-3.6944444444444438</v>
      </c>
      <c r="D11">
        <f t="shared" si="6"/>
        <v>-3.25</v>
      </c>
      <c r="E11">
        <f t="shared" si="7"/>
        <v>-9.5625</v>
      </c>
      <c r="F11">
        <f t="shared" si="8"/>
        <v>-6.5</v>
      </c>
      <c r="G11">
        <f t="shared" si="7"/>
        <v>-41.25</v>
      </c>
      <c r="H11">
        <f t="shared" si="7"/>
        <v>-74.1111111111111</v>
      </c>
      <c r="I11">
        <f t="shared" si="7"/>
        <v>-168</v>
      </c>
      <c r="L11">
        <f t="shared" si="3"/>
        <v>-0.2558139534883721</v>
      </c>
      <c r="M11">
        <f t="shared" si="3"/>
        <v>-0.28888888888888886</v>
      </c>
      <c r="N11">
        <f t="shared" si="3"/>
        <v>-0.31914893617021278</v>
      </c>
      <c r="O11">
        <f t="shared" si="3"/>
        <v>-0.34693877551020408</v>
      </c>
    </row>
    <row r="12" spans="1:15" x14ac:dyDescent="0.25">
      <c r="A12">
        <v>16.5</v>
      </c>
      <c r="B12">
        <f t="shared" si="4"/>
        <v>-2</v>
      </c>
      <c r="C12">
        <f t="shared" si="5"/>
        <v>-3</v>
      </c>
      <c r="D12">
        <f t="shared" si="6"/>
        <v>-3</v>
      </c>
      <c r="E12">
        <f t="shared" si="7"/>
        <v>-8</v>
      </c>
      <c r="F12">
        <f t="shared" si="8"/>
        <v>-6</v>
      </c>
      <c r="G12">
        <f t="shared" si="7"/>
        <v>-35</v>
      </c>
      <c r="H12">
        <f t="shared" si="7"/>
        <v>-63</v>
      </c>
      <c r="I12">
        <f t="shared" si="7"/>
        <v>-143</v>
      </c>
      <c r="L12">
        <f t="shared" si="3"/>
        <v>-0.23255813953488372</v>
      </c>
      <c r="M12">
        <f t="shared" si="3"/>
        <v>-0.26666666666666666</v>
      </c>
      <c r="N12">
        <f t="shared" si="3"/>
        <v>-0.2978723404255319</v>
      </c>
      <c r="O12">
        <f t="shared" si="3"/>
        <v>-0.32653061224489793</v>
      </c>
    </row>
    <row r="13" spans="1:15" x14ac:dyDescent="0.25">
      <c r="A13">
        <v>17</v>
      </c>
      <c r="B13">
        <f t="shared" si="4"/>
        <v>-1.8333333333333333</v>
      </c>
      <c r="C13">
        <f t="shared" si="5"/>
        <v>-2.3611111111111107</v>
      </c>
      <c r="D13">
        <f t="shared" si="6"/>
        <v>-2.75</v>
      </c>
      <c r="E13">
        <f t="shared" si="7"/>
        <v>-6.5625</v>
      </c>
      <c r="F13">
        <f t="shared" si="8"/>
        <v>-5.5</v>
      </c>
      <c r="G13">
        <f t="shared" si="7"/>
        <v>-29.25</v>
      </c>
      <c r="H13">
        <f t="shared" si="7"/>
        <v>-52.777777777777771</v>
      </c>
      <c r="I13">
        <f t="shared" si="7"/>
        <v>-120</v>
      </c>
      <c r="L13">
        <f t="shared" si="3"/>
        <v>-0.20930232558139536</v>
      </c>
      <c r="M13">
        <f t="shared" si="3"/>
        <v>-0.24444444444444444</v>
      </c>
      <c r="N13">
        <f t="shared" si="3"/>
        <v>-0.27659574468085107</v>
      </c>
      <c r="O13">
        <f t="shared" si="3"/>
        <v>-0.30612244897959184</v>
      </c>
    </row>
    <row r="14" spans="1:15" x14ac:dyDescent="0.25">
      <c r="A14">
        <v>17.5</v>
      </c>
      <c r="B14">
        <f t="shared" si="4"/>
        <v>-1.6666666666666667</v>
      </c>
      <c r="C14">
        <f t="shared" si="5"/>
        <v>-1.7777777777777781</v>
      </c>
      <c r="D14">
        <f t="shared" si="6"/>
        <v>-2.5</v>
      </c>
      <c r="E14">
        <f t="shared" si="7"/>
        <v>-5.25</v>
      </c>
      <c r="F14">
        <f t="shared" si="8"/>
        <v>-5</v>
      </c>
      <c r="G14">
        <f t="shared" si="7"/>
        <v>-24</v>
      </c>
      <c r="H14">
        <f t="shared" si="7"/>
        <v>-43.44444444444445</v>
      </c>
      <c r="I14">
        <f t="shared" si="7"/>
        <v>-99</v>
      </c>
      <c r="L14">
        <f t="shared" si="3"/>
        <v>-0.18604651162790697</v>
      </c>
      <c r="M14">
        <f t="shared" si="3"/>
        <v>-0.22222222222222221</v>
      </c>
      <c r="N14">
        <f t="shared" si="3"/>
        <v>-0.25531914893617019</v>
      </c>
      <c r="O14">
        <f t="shared" si="3"/>
        <v>-0.2857142857142857</v>
      </c>
    </row>
    <row r="15" spans="1:15" x14ac:dyDescent="0.25">
      <c r="A15">
        <v>18</v>
      </c>
      <c r="B15">
        <f t="shared" si="4"/>
        <v>-1.5</v>
      </c>
      <c r="C15">
        <f t="shared" si="5"/>
        <v>-1.25</v>
      </c>
      <c r="D15">
        <f t="shared" si="6"/>
        <v>-2.25</v>
      </c>
      <c r="E15">
        <f t="shared" si="7"/>
        <v>-4.0625</v>
      </c>
      <c r="F15">
        <f t="shared" si="8"/>
        <v>-4.5</v>
      </c>
      <c r="G15">
        <f t="shared" si="7"/>
        <v>-19.25</v>
      </c>
      <c r="H15">
        <f t="shared" si="7"/>
        <v>-35</v>
      </c>
      <c r="I15">
        <f t="shared" si="7"/>
        <v>-80</v>
      </c>
      <c r="L15">
        <f t="shared" si="3"/>
        <v>-0.16279069767441862</v>
      </c>
      <c r="M15">
        <f t="shared" si="3"/>
        <v>-0.2</v>
      </c>
      <c r="N15">
        <f t="shared" si="3"/>
        <v>-0.23404255319148937</v>
      </c>
      <c r="O15">
        <f t="shared" si="3"/>
        <v>-0.26530612244897961</v>
      </c>
    </row>
    <row r="16" spans="1:15" x14ac:dyDescent="0.25">
      <c r="A16">
        <v>18.5</v>
      </c>
      <c r="B16">
        <f t="shared" si="4"/>
        <v>-1.3333333333333333</v>
      </c>
      <c r="C16">
        <f t="shared" si="5"/>
        <v>-0.77777777777777768</v>
      </c>
      <c r="D16">
        <f t="shared" si="6"/>
        <v>-2</v>
      </c>
      <c r="E16">
        <f t="shared" si="7"/>
        <v>-3</v>
      </c>
      <c r="F16">
        <f t="shared" si="8"/>
        <v>-4</v>
      </c>
      <c r="G16">
        <f t="shared" si="7"/>
        <v>-15</v>
      </c>
      <c r="H16">
        <f t="shared" si="7"/>
        <v>-27.444444444444443</v>
      </c>
      <c r="I16">
        <f t="shared" si="7"/>
        <v>-63</v>
      </c>
      <c r="L16">
        <f t="shared" si="3"/>
        <v>-0.13953488372093023</v>
      </c>
      <c r="M16">
        <f t="shared" si="3"/>
        <v>-0.17777777777777778</v>
      </c>
      <c r="N16">
        <f t="shared" si="3"/>
        <v>-0.21276595744680851</v>
      </c>
      <c r="O16">
        <f t="shared" si="3"/>
        <v>-0.24489795918367346</v>
      </c>
    </row>
    <row r="17" spans="1:15" x14ac:dyDescent="0.25">
      <c r="A17">
        <v>19</v>
      </c>
      <c r="B17">
        <f t="shared" si="4"/>
        <v>-1.1666666666666667</v>
      </c>
      <c r="C17">
        <f t="shared" si="5"/>
        <v>-0.36111111111111138</v>
      </c>
      <c r="D17">
        <f t="shared" si="6"/>
        <v>-1.75</v>
      </c>
      <c r="E17">
        <f t="shared" si="7"/>
        <v>-2.0625</v>
      </c>
      <c r="F17">
        <f t="shared" si="8"/>
        <v>-3.5</v>
      </c>
      <c r="G17">
        <f t="shared" si="7"/>
        <v>-11.25</v>
      </c>
      <c r="H17">
        <f t="shared" si="7"/>
        <v>-20.777777777777782</v>
      </c>
      <c r="I17">
        <f t="shared" si="7"/>
        <v>-48</v>
      </c>
      <c r="L17">
        <f t="shared" si="3"/>
        <v>-0.11627906976744186</v>
      </c>
      <c r="M17">
        <f t="shared" si="3"/>
        <v>-0.15555555555555556</v>
      </c>
      <c r="N17">
        <f t="shared" si="3"/>
        <v>-0.19148936170212766</v>
      </c>
      <c r="O17">
        <f t="shared" si="3"/>
        <v>-0.22448979591836735</v>
      </c>
    </row>
    <row r="18" spans="1:15" x14ac:dyDescent="0.25">
      <c r="A18">
        <v>19.5</v>
      </c>
      <c r="B18">
        <f t="shared" si="4"/>
        <v>-1</v>
      </c>
      <c r="C18">
        <f t="shared" si="5"/>
        <v>0</v>
      </c>
      <c r="D18">
        <f t="shared" si="6"/>
        <v>-1.5</v>
      </c>
      <c r="E18">
        <f t="shared" si="7"/>
        <v>-1.25</v>
      </c>
      <c r="F18">
        <f t="shared" si="8"/>
        <v>-3</v>
      </c>
      <c r="G18">
        <f t="shared" si="7"/>
        <v>-8</v>
      </c>
      <c r="H18">
        <f t="shared" si="7"/>
        <v>-15</v>
      </c>
      <c r="I18">
        <f t="shared" si="7"/>
        <v>-35</v>
      </c>
      <c r="L18">
        <f t="shared" si="3"/>
        <v>-9.3023255813953487E-2</v>
      </c>
      <c r="M18">
        <f t="shared" si="3"/>
        <v>-0.13333333333333333</v>
      </c>
      <c r="N18">
        <f t="shared" si="3"/>
        <v>-0.1702127659574468</v>
      </c>
      <c r="O18">
        <f t="shared" si="3"/>
        <v>-0.20408163265306123</v>
      </c>
    </row>
    <row r="19" spans="1:15" x14ac:dyDescent="0.25">
      <c r="A19">
        <v>20</v>
      </c>
      <c r="B19">
        <f t="shared" si="4"/>
        <v>-0.83333333333333337</v>
      </c>
      <c r="C19">
        <f t="shared" si="5"/>
        <v>1</v>
      </c>
      <c r="D19">
        <f t="shared" si="6"/>
        <v>-1.25</v>
      </c>
      <c r="E19">
        <f t="shared" si="7"/>
        <v>-0.5625</v>
      </c>
      <c r="F19">
        <f t="shared" si="8"/>
        <v>-2.5</v>
      </c>
      <c r="G19">
        <f t="shared" si="7"/>
        <v>-5.25</v>
      </c>
      <c r="H19">
        <f t="shared" si="7"/>
        <v>-10.111111111111112</v>
      </c>
      <c r="I19">
        <f t="shared" si="7"/>
        <v>-24</v>
      </c>
      <c r="L19">
        <f t="shared" si="3"/>
        <v>-6.9767441860465115E-2</v>
      </c>
      <c r="M19">
        <f t="shared" si="3"/>
        <v>-0.1111111111111111</v>
      </c>
      <c r="N19">
        <f t="shared" si="3"/>
        <v>-0.14893617021276595</v>
      </c>
      <c r="O19">
        <f t="shared" si="3"/>
        <v>-0.18367346938775511</v>
      </c>
    </row>
    <row r="20" spans="1:15" x14ac:dyDescent="0.25">
      <c r="A20">
        <v>20.5</v>
      </c>
      <c r="B20">
        <f t="shared" si="4"/>
        <v>-0.66666666666666663</v>
      </c>
      <c r="C20">
        <f t="shared" si="5"/>
        <v>1</v>
      </c>
      <c r="D20">
        <f t="shared" si="6"/>
        <v>-1</v>
      </c>
      <c r="E20">
        <f t="shared" si="7"/>
        <v>0</v>
      </c>
      <c r="F20">
        <f t="shared" si="8"/>
        <v>-2</v>
      </c>
      <c r="G20">
        <f t="shared" si="7"/>
        <v>-3</v>
      </c>
      <c r="H20">
        <f t="shared" si="7"/>
        <v>-6.1111111111111107</v>
      </c>
      <c r="I20">
        <f t="shared" si="7"/>
        <v>-15</v>
      </c>
      <c r="L20">
        <f t="shared" si="3"/>
        <v>-4.6511627906976744E-2</v>
      </c>
      <c r="M20">
        <f t="shared" si="3"/>
        <v>-8.8888888888888892E-2</v>
      </c>
      <c r="N20">
        <f t="shared" si="3"/>
        <v>-0.1276595744680851</v>
      </c>
      <c r="O20">
        <f t="shared" si="3"/>
        <v>-0.16326530612244897</v>
      </c>
    </row>
    <row r="21" spans="1:15" x14ac:dyDescent="0.25">
      <c r="A21">
        <v>21</v>
      </c>
      <c r="B21">
        <f t="shared" si="4"/>
        <v>-0.5</v>
      </c>
      <c r="C21">
        <f t="shared" si="5"/>
        <v>1</v>
      </c>
      <c r="D21">
        <f t="shared" si="6"/>
        <v>-0.75</v>
      </c>
      <c r="E21">
        <f t="shared" si="7"/>
        <v>1</v>
      </c>
      <c r="F21">
        <f t="shared" si="8"/>
        <v>-1.5</v>
      </c>
      <c r="G21">
        <f t="shared" si="7"/>
        <v>-1.25</v>
      </c>
      <c r="H21">
        <f t="shared" si="7"/>
        <v>-3</v>
      </c>
      <c r="I21">
        <f t="shared" si="7"/>
        <v>-8</v>
      </c>
      <c r="L21">
        <f t="shared" si="3"/>
        <v>-2.3255813953488372E-2</v>
      </c>
      <c r="M21">
        <f t="shared" si="3"/>
        <v>-6.6666666666666666E-2</v>
      </c>
      <c r="N21">
        <f t="shared" si="3"/>
        <v>-0.10638297872340426</v>
      </c>
      <c r="O21">
        <f t="shared" si="3"/>
        <v>-0.14285714285714285</v>
      </c>
    </row>
    <row r="22" spans="1:15" x14ac:dyDescent="0.25">
      <c r="A22" s="1">
        <v>21.5</v>
      </c>
      <c r="B22">
        <f t="shared" si="4"/>
        <v>-0.33333333333333331</v>
      </c>
      <c r="C22">
        <f t="shared" si="5"/>
        <v>1</v>
      </c>
      <c r="D22">
        <f t="shared" si="6"/>
        <v>-0.5</v>
      </c>
      <c r="E22">
        <f t="shared" si="7"/>
        <v>1</v>
      </c>
      <c r="F22" s="1">
        <f t="shared" si="8"/>
        <v>-1</v>
      </c>
      <c r="G22">
        <f t="shared" si="7"/>
        <v>0</v>
      </c>
      <c r="H22">
        <f t="shared" si="7"/>
        <v>-0.77777777777777768</v>
      </c>
      <c r="I22">
        <f t="shared" si="7"/>
        <v>-3</v>
      </c>
      <c r="L22">
        <f t="shared" si="3"/>
        <v>0</v>
      </c>
      <c r="M22">
        <f t="shared" si="3"/>
        <v>-4.4444444444444446E-2</v>
      </c>
      <c r="N22">
        <f t="shared" si="3"/>
        <v>-8.5106382978723402E-2</v>
      </c>
      <c r="O22">
        <f t="shared" si="3"/>
        <v>-0.12244897959183673</v>
      </c>
    </row>
    <row r="23" spans="1:15" x14ac:dyDescent="0.25">
      <c r="A23" s="1">
        <v>22</v>
      </c>
      <c r="B23">
        <f t="shared" si="4"/>
        <v>-0.16666666666666666</v>
      </c>
      <c r="C23">
        <f t="shared" si="5"/>
        <v>1</v>
      </c>
      <c r="D23">
        <f t="shared" si="6"/>
        <v>-0.25</v>
      </c>
      <c r="E23">
        <f t="shared" si="7"/>
        <v>1</v>
      </c>
      <c r="F23" s="1">
        <f t="shared" si="8"/>
        <v>-0.5</v>
      </c>
      <c r="G23">
        <f t="shared" si="7"/>
        <v>1</v>
      </c>
      <c r="H23">
        <f t="shared" si="7"/>
        <v>1</v>
      </c>
      <c r="I23">
        <f t="shared" si="7"/>
        <v>0</v>
      </c>
      <c r="L23">
        <f t="shared" si="3"/>
        <v>2.3255813953488372E-2</v>
      </c>
      <c r="M23">
        <f t="shared" si="3"/>
        <v>-2.2222222222222223E-2</v>
      </c>
      <c r="N23">
        <f t="shared" si="3"/>
        <v>-6.3829787234042548E-2</v>
      </c>
      <c r="O23">
        <f t="shared" si="3"/>
        <v>-0.10204081632653061</v>
      </c>
    </row>
    <row r="24" spans="1:15" x14ac:dyDescent="0.25">
      <c r="A24" s="1">
        <v>22.5</v>
      </c>
      <c r="B24">
        <f t="shared" si="4"/>
        <v>0</v>
      </c>
      <c r="C24">
        <f t="shared" si="5"/>
        <v>1</v>
      </c>
      <c r="D24">
        <f t="shared" si="6"/>
        <v>0</v>
      </c>
      <c r="E24">
        <f t="shared" si="7"/>
        <v>1</v>
      </c>
      <c r="F24" s="1">
        <f t="shared" si="8"/>
        <v>0</v>
      </c>
      <c r="G24">
        <f t="shared" si="7"/>
        <v>1</v>
      </c>
      <c r="H24">
        <f t="shared" si="7"/>
        <v>1</v>
      </c>
      <c r="I24">
        <f t="shared" si="7"/>
        <v>1</v>
      </c>
      <c r="L24">
        <f t="shared" si="3"/>
        <v>4.6511627906976744E-2</v>
      </c>
      <c r="M24">
        <f t="shared" si="3"/>
        <v>0</v>
      </c>
      <c r="N24">
        <f t="shared" si="3"/>
        <v>-4.2553191489361701E-2</v>
      </c>
      <c r="O24">
        <f t="shared" si="3"/>
        <v>-8.1632653061224483E-2</v>
      </c>
    </row>
    <row r="25" spans="1:15" x14ac:dyDescent="0.25">
      <c r="A25">
        <v>23</v>
      </c>
      <c r="B25">
        <f t="shared" si="4"/>
        <v>0.16666666666666666</v>
      </c>
      <c r="C25">
        <f t="shared" si="5"/>
        <v>1</v>
      </c>
      <c r="D25">
        <f t="shared" si="6"/>
        <v>0.25</v>
      </c>
      <c r="E25">
        <f t="shared" si="7"/>
        <v>1</v>
      </c>
      <c r="F25">
        <f t="shared" si="8"/>
        <v>0.5</v>
      </c>
      <c r="G25">
        <f t="shared" si="7"/>
        <v>1</v>
      </c>
      <c r="H25">
        <f t="shared" si="7"/>
        <v>1</v>
      </c>
      <c r="I25">
        <f t="shared" si="7"/>
        <v>0</v>
      </c>
      <c r="L25">
        <f t="shared" si="3"/>
        <v>6.9767441860465115E-2</v>
      </c>
      <c r="M25">
        <f t="shared" si="3"/>
        <v>2.2222222222222223E-2</v>
      </c>
      <c r="N25">
        <f t="shared" si="3"/>
        <v>-2.1276595744680851E-2</v>
      </c>
      <c r="O25">
        <f t="shared" si="3"/>
        <v>-6.1224489795918366E-2</v>
      </c>
    </row>
    <row r="26" spans="1:15" x14ac:dyDescent="0.25">
      <c r="A26">
        <v>23.5</v>
      </c>
      <c r="B26">
        <f t="shared" si="4"/>
        <v>0.33333333333333331</v>
      </c>
      <c r="C26">
        <f t="shared" si="5"/>
        <v>1</v>
      </c>
      <c r="D26">
        <f t="shared" si="6"/>
        <v>0.5</v>
      </c>
      <c r="E26">
        <f t="shared" si="7"/>
        <v>1</v>
      </c>
      <c r="F26">
        <f t="shared" si="8"/>
        <v>1</v>
      </c>
      <c r="G26">
        <f t="shared" si="7"/>
        <v>0</v>
      </c>
      <c r="H26">
        <f t="shared" si="7"/>
        <v>-0.77777777777777768</v>
      </c>
      <c r="I26">
        <f t="shared" si="7"/>
        <v>-3</v>
      </c>
      <c r="L26">
        <f t="shared" si="3"/>
        <v>9.3023255813953487E-2</v>
      </c>
      <c r="M26">
        <f t="shared" si="3"/>
        <v>4.4444444444444446E-2</v>
      </c>
      <c r="N26">
        <f t="shared" si="3"/>
        <v>0</v>
      </c>
      <c r="O26">
        <f t="shared" si="3"/>
        <v>-4.0816326530612242E-2</v>
      </c>
    </row>
    <row r="27" spans="1:15" x14ac:dyDescent="0.25">
      <c r="A27">
        <v>24</v>
      </c>
      <c r="B27">
        <f t="shared" si="4"/>
        <v>0.5</v>
      </c>
      <c r="C27">
        <f t="shared" si="5"/>
        <v>1</v>
      </c>
      <c r="D27">
        <f t="shared" si="6"/>
        <v>0.75</v>
      </c>
      <c r="E27">
        <f t="shared" si="7"/>
        <v>1</v>
      </c>
      <c r="F27">
        <f t="shared" si="8"/>
        <v>1.5</v>
      </c>
      <c r="G27">
        <f t="shared" si="7"/>
        <v>-1.25</v>
      </c>
      <c r="H27">
        <f t="shared" si="7"/>
        <v>-3</v>
      </c>
      <c r="I27">
        <f t="shared" si="7"/>
        <v>-8</v>
      </c>
      <c r="L27">
        <f t="shared" si="3"/>
        <v>0.11627906976744186</v>
      </c>
      <c r="M27">
        <f t="shared" si="3"/>
        <v>6.6666666666666666E-2</v>
      </c>
      <c r="N27">
        <f t="shared" si="3"/>
        <v>2.1276595744680851E-2</v>
      </c>
      <c r="O27">
        <f t="shared" si="3"/>
        <v>-2.0408163265306121E-2</v>
      </c>
    </row>
    <row r="28" spans="1:15" x14ac:dyDescent="0.25">
      <c r="A28">
        <v>24.5</v>
      </c>
      <c r="B28">
        <f t="shared" si="4"/>
        <v>0.66666666666666663</v>
      </c>
      <c r="C28">
        <f t="shared" si="5"/>
        <v>1</v>
      </c>
      <c r="D28">
        <f t="shared" si="6"/>
        <v>1</v>
      </c>
      <c r="E28">
        <f t="shared" si="7"/>
        <v>0</v>
      </c>
      <c r="F28">
        <f t="shared" si="8"/>
        <v>2</v>
      </c>
      <c r="G28">
        <f t="shared" si="7"/>
        <v>-3</v>
      </c>
      <c r="H28">
        <f t="shared" si="7"/>
        <v>-6.1111111111111107</v>
      </c>
      <c r="I28">
        <f t="shared" si="7"/>
        <v>-15</v>
      </c>
      <c r="L28">
        <f t="shared" si="3"/>
        <v>0.13953488372093023</v>
      </c>
      <c r="M28">
        <f t="shared" si="3"/>
        <v>8.8888888888888892E-2</v>
      </c>
      <c r="N28">
        <f t="shared" si="3"/>
        <v>4.2553191489361701E-2</v>
      </c>
      <c r="O28">
        <f t="shared" si="3"/>
        <v>0</v>
      </c>
    </row>
    <row r="29" spans="1:15" x14ac:dyDescent="0.25">
      <c r="A29">
        <v>25</v>
      </c>
      <c r="B29">
        <f t="shared" si="4"/>
        <v>0.83333333333333337</v>
      </c>
      <c r="C29">
        <f t="shared" si="5"/>
        <v>1</v>
      </c>
      <c r="D29">
        <f t="shared" si="6"/>
        <v>1.25</v>
      </c>
      <c r="E29">
        <f t="shared" si="7"/>
        <v>-0.5625</v>
      </c>
      <c r="F29">
        <f t="shared" si="8"/>
        <v>2.5</v>
      </c>
      <c r="G29">
        <f t="shared" si="7"/>
        <v>-5.25</v>
      </c>
      <c r="H29">
        <f t="shared" si="7"/>
        <v>-10.111111111111112</v>
      </c>
      <c r="I29">
        <f t="shared" si="7"/>
        <v>-24</v>
      </c>
      <c r="L29">
        <f t="shared" si="3"/>
        <v>0.16279069767441862</v>
      </c>
      <c r="M29">
        <f t="shared" si="3"/>
        <v>0.1111111111111111</v>
      </c>
      <c r="N29">
        <f t="shared" si="3"/>
        <v>6.3829787234042548E-2</v>
      </c>
      <c r="O29">
        <f t="shared" si="3"/>
        <v>2.0408163265306121E-2</v>
      </c>
    </row>
    <row r="30" spans="1:15" x14ac:dyDescent="0.25">
      <c r="A30">
        <v>25.5</v>
      </c>
      <c r="B30">
        <f t="shared" si="4"/>
        <v>1</v>
      </c>
      <c r="C30">
        <f t="shared" si="5"/>
        <v>0</v>
      </c>
      <c r="D30">
        <f t="shared" si="6"/>
        <v>1.5</v>
      </c>
      <c r="E30">
        <f t="shared" si="7"/>
        <v>-1.25</v>
      </c>
      <c r="F30">
        <f t="shared" si="8"/>
        <v>3</v>
      </c>
      <c r="G30">
        <f t="shared" si="7"/>
        <v>-8</v>
      </c>
      <c r="H30">
        <f t="shared" si="7"/>
        <v>-15</v>
      </c>
      <c r="I30">
        <f t="shared" si="7"/>
        <v>-35</v>
      </c>
      <c r="L30">
        <f t="shared" si="3"/>
        <v>0.18604651162790697</v>
      </c>
      <c r="M30">
        <f t="shared" si="3"/>
        <v>0.13333333333333333</v>
      </c>
      <c r="N30">
        <f t="shared" si="3"/>
        <v>8.5106382978723402E-2</v>
      </c>
      <c r="O30">
        <f t="shared" si="3"/>
        <v>4.0816326530612242E-2</v>
      </c>
    </row>
    <row r="31" spans="1:15" x14ac:dyDescent="0.25">
      <c r="A31">
        <v>26</v>
      </c>
      <c r="B31">
        <f t="shared" si="4"/>
        <v>1.1666666666666667</v>
      </c>
      <c r="C31">
        <f t="shared" si="5"/>
        <v>-0.36111111111111138</v>
      </c>
      <c r="D31">
        <f t="shared" si="6"/>
        <v>1.75</v>
      </c>
      <c r="E31">
        <f t="shared" si="7"/>
        <v>-2.0625</v>
      </c>
      <c r="F31">
        <f t="shared" si="8"/>
        <v>3.5</v>
      </c>
      <c r="G31">
        <f t="shared" si="7"/>
        <v>-11.25</v>
      </c>
      <c r="H31">
        <f t="shared" si="7"/>
        <v>-20.777777777777782</v>
      </c>
      <c r="I31">
        <f t="shared" si="7"/>
        <v>-48</v>
      </c>
      <c r="L31">
        <f t="shared" si="3"/>
        <v>0.20930232558139536</v>
      </c>
      <c r="M31">
        <f t="shared" si="3"/>
        <v>0.15555555555555556</v>
      </c>
      <c r="N31">
        <f t="shared" si="3"/>
        <v>0.10638297872340426</v>
      </c>
      <c r="O31">
        <f t="shared" si="3"/>
        <v>6.1224489795918366E-2</v>
      </c>
    </row>
    <row r="32" spans="1:15" x14ac:dyDescent="0.25">
      <c r="A32">
        <v>26.5</v>
      </c>
      <c r="B32">
        <f t="shared" si="4"/>
        <v>1.3333333333333333</v>
      </c>
      <c r="C32">
        <f t="shared" si="5"/>
        <v>-0.77777777777777768</v>
      </c>
      <c r="D32">
        <f t="shared" si="6"/>
        <v>2</v>
      </c>
      <c r="E32">
        <f t="shared" si="7"/>
        <v>-3</v>
      </c>
      <c r="F32">
        <f t="shared" si="8"/>
        <v>4</v>
      </c>
      <c r="G32">
        <f t="shared" si="7"/>
        <v>-15</v>
      </c>
      <c r="H32">
        <f t="shared" si="7"/>
        <v>-27.444444444444443</v>
      </c>
      <c r="I32">
        <f t="shared" si="7"/>
        <v>-63</v>
      </c>
      <c r="L32">
        <f t="shared" si="3"/>
        <v>0.23255813953488372</v>
      </c>
      <c r="M32">
        <f t="shared" si="3"/>
        <v>0.17777777777777778</v>
      </c>
      <c r="N32">
        <f t="shared" si="3"/>
        <v>0.1276595744680851</v>
      </c>
      <c r="O32">
        <f t="shared" si="3"/>
        <v>8.1632653061224483E-2</v>
      </c>
    </row>
    <row r="33" spans="1:15" x14ac:dyDescent="0.25">
      <c r="A33">
        <v>27</v>
      </c>
      <c r="B33">
        <f t="shared" si="4"/>
        <v>1.5</v>
      </c>
      <c r="C33">
        <f t="shared" si="5"/>
        <v>-1.25</v>
      </c>
      <c r="D33">
        <f t="shared" si="6"/>
        <v>2.25</v>
      </c>
      <c r="E33">
        <f t="shared" si="7"/>
        <v>-4.0625</v>
      </c>
      <c r="F33">
        <f t="shared" si="8"/>
        <v>4.5</v>
      </c>
      <c r="G33">
        <f t="shared" si="7"/>
        <v>-19.25</v>
      </c>
      <c r="H33">
        <f t="shared" si="7"/>
        <v>-35</v>
      </c>
      <c r="I33">
        <f t="shared" si="7"/>
        <v>-80</v>
      </c>
      <c r="L33">
        <f t="shared" si="3"/>
        <v>0.2558139534883721</v>
      </c>
      <c r="M33">
        <f t="shared" si="3"/>
        <v>0.2</v>
      </c>
      <c r="N33">
        <f t="shared" si="3"/>
        <v>0.14893617021276595</v>
      </c>
      <c r="O33">
        <f t="shared" si="3"/>
        <v>0.10204081632653061</v>
      </c>
    </row>
    <row r="34" spans="1:15" x14ac:dyDescent="0.25">
      <c r="A34">
        <v>27.5</v>
      </c>
      <c r="B34">
        <f t="shared" si="4"/>
        <v>1.6666666666666667</v>
      </c>
      <c r="C34">
        <f t="shared" si="5"/>
        <v>-1.7777777777777781</v>
      </c>
      <c r="D34">
        <f t="shared" si="6"/>
        <v>2.5</v>
      </c>
      <c r="E34">
        <f t="shared" si="7"/>
        <v>-5.25</v>
      </c>
      <c r="F34">
        <f t="shared" si="8"/>
        <v>5</v>
      </c>
      <c r="G34">
        <f t="shared" si="7"/>
        <v>-24</v>
      </c>
      <c r="H34">
        <f t="shared" si="7"/>
        <v>-43.44444444444445</v>
      </c>
      <c r="I34">
        <f t="shared" si="7"/>
        <v>-99</v>
      </c>
      <c r="L34">
        <f t="shared" si="3"/>
        <v>0.27906976744186046</v>
      </c>
      <c r="M34">
        <f t="shared" si="3"/>
        <v>0.22222222222222221</v>
      </c>
      <c r="N34">
        <f t="shared" si="3"/>
        <v>0.1702127659574468</v>
      </c>
      <c r="O34">
        <f t="shared" si="3"/>
        <v>0.12244897959183673</v>
      </c>
    </row>
    <row r="35" spans="1:15" x14ac:dyDescent="0.25">
      <c r="A35">
        <v>28</v>
      </c>
      <c r="B35">
        <f t="shared" si="4"/>
        <v>1.8333333333333333</v>
      </c>
      <c r="C35">
        <f t="shared" si="5"/>
        <v>-2.3611111111111107</v>
      </c>
      <c r="D35">
        <f t="shared" si="6"/>
        <v>2.75</v>
      </c>
      <c r="E35">
        <f t="shared" si="7"/>
        <v>-6.5625</v>
      </c>
      <c r="F35">
        <f t="shared" si="8"/>
        <v>5.5</v>
      </c>
      <c r="G35">
        <f t="shared" si="7"/>
        <v>-29.25</v>
      </c>
      <c r="H35">
        <f t="shared" si="7"/>
        <v>-52.777777777777771</v>
      </c>
      <c r="I35">
        <f t="shared" si="7"/>
        <v>-120</v>
      </c>
      <c r="L35">
        <f t="shared" si="3"/>
        <v>0.30232558139534882</v>
      </c>
      <c r="M35">
        <f t="shared" si="3"/>
        <v>0.24444444444444444</v>
      </c>
      <c r="N35">
        <f t="shared" si="3"/>
        <v>0.19148936170212766</v>
      </c>
      <c r="O35">
        <f t="shared" si="3"/>
        <v>0.14285714285714285</v>
      </c>
    </row>
    <row r="36" spans="1:15" x14ac:dyDescent="0.25">
      <c r="A36">
        <v>28.5</v>
      </c>
      <c r="B36">
        <f t="shared" si="4"/>
        <v>2</v>
      </c>
      <c r="C36">
        <f t="shared" si="5"/>
        <v>-3</v>
      </c>
      <c r="D36">
        <f t="shared" si="6"/>
        <v>3</v>
      </c>
      <c r="E36">
        <f t="shared" si="7"/>
        <v>-8</v>
      </c>
      <c r="F36">
        <f t="shared" si="8"/>
        <v>6</v>
      </c>
      <c r="G36">
        <f t="shared" si="7"/>
        <v>-35</v>
      </c>
      <c r="H36">
        <f t="shared" si="7"/>
        <v>-63</v>
      </c>
      <c r="I36">
        <f t="shared" si="7"/>
        <v>-143</v>
      </c>
      <c r="L36">
        <f t="shared" si="3"/>
        <v>0.32558139534883723</v>
      </c>
      <c r="M36">
        <f t="shared" si="3"/>
        <v>0.26666666666666666</v>
      </c>
      <c r="N36">
        <f t="shared" si="3"/>
        <v>0.21276595744680851</v>
      </c>
      <c r="O36">
        <f t="shared" si="3"/>
        <v>0.16326530612244897</v>
      </c>
    </row>
    <row r="37" spans="1:15" x14ac:dyDescent="0.25">
      <c r="A37">
        <v>29</v>
      </c>
      <c r="B37">
        <f t="shared" si="4"/>
        <v>2.1666666666666665</v>
      </c>
      <c r="C37">
        <f t="shared" si="5"/>
        <v>-3.6944444444444438</v>
      </c>
      <c r="D37">
        <f t="shared" si="6"/>
        <v>3.25</v>
      </c>
      <c r="E37">
        <f t="shared" si="7"/>
        <v>-9.5625</v>
      </c>
      <c r="F37">
        <f t="shared" si="8"/>
        <v>6.5</v>
      </c>
      <c r="G37">
        <f t="shared" si="7"/>
        <v>-41.25</v>
      </c>
      <c r="H37">
        <f t="shared" si="7"/>
        <v>-74.1111111111111</v>
      </c>
      <c r="I37">
        <f t="shared" si="7"/>
        <v>-168</v>
      </c>
      <c r="L37">
        <f t="shared" si="3"/>
        <v>0.34883720930232559</v>
      </c>
      <c r="M37">
        <f t="shared" si="3"/>
        <v>0.28888888888888886</v>
      </c>
      <c r="N37">
        <f t="shared" si="3"/>
        <v>0.23404255319148937</v>
      </c>
      <c r="O37">
        <f t="shared" si="3"/>
        <v>0.18367346938775511</v>
      </c>
    </row>
    <row r="38" spans="1:15" x14ac:dyDescent="0.25">
      <c r="A38">
        <v>29.5</v>
      </c>
      <c r="B38">
        <f t="shared" si="4"/>
        <v>2.3333333333333335</v>
      </c>
      <c r="C38">
        <f t="shared" si="5"/>
        <v>-4.4444444444444455</v>
      </c>
      <c r="D38">
        <f t="shared" si="6"/>
        <v>3.5</v>
      </c>
      <c r="E38">
        <f t="shared" si="7"/>
        <v>-11.25</v>
      </c>
      <c r="F38">
        <f t="shared" si="8"/>
        <v>7</v>
      </c>
      <c r="G38">
        <f t="shared" si="7"/>
        <v>-48</v>
      </c>
      <c r="H38">
        <f t="shared" si="7"/>
        <v>-86.111111111111128</v>
      </c>
      <c r="I38">
        <f t="shared" si="7"/>
        <v>-195</v>
      </c>
      <c r="L38">
        <f t="shared" si="3"/>
        <v>0.37209302325581395</v>
      </c>
      <c r="M38">
        <f t="shared" si="3"/>
        <v>0.31111111111111112</v>
      </c>
      <c r="N38">
        <f t="shared" si="3"/>
        <v>0.25531914893617019</v>
      </c>
      <c r="O38">
        <f t="shared" si="3"/>
        <v>0.20408163265306123</v>
      </c>
    </row>
    <row r="39" spans="1:15" x14ac:dyDescent="0.25">
      <c r="A39">
        <v>30</v>
      </c>
      <c r="B39">
        <f>(A39-AVERAGE(C$1:C$2))/$C$4</f>
        <v>2.5</v>
      </c>
      <c r="C39">
        <f t="shared" si="5"/>
        <v>-5.25</v>
      </c>
      <c r="D39">
        <f t="shared" si="6"/>
        <v>3.75</v>
      </c>
      <c r="E39">
        <f t="shared" si="7"/>
        <v>-13.0625</v>
      </c>
      <c r="F39">
        <f t="shared" si="8"/>
        <v>7.5</v>
      </c>
      <c r="G39">
        <f t="shared" si="7"/>
        <v>-55.25</v>
      </c>
      <c r="H39">
        <f t="shared" si="7"/>
        <v>-99</v>
      </c>
      <c r="I39">
        <f t="shared" si="7"/>
        <v>-224</v>
      </c>
      <c r="L39">
        <f t="shared" si="3"/>
        <v>0.39534883720930231</v>
      </c>
      <c r="M39">
        <f t="shared" si="3"/>
        <v>0.33333333333333331</v>
      </c>
      <c r="N39">
        <f t="shared" si="3"/>
        <v>0.27659574468085107</v>
      </c>
      <c r="O39">
        <f t="shared" si="3"/>
        <v>0.22448979591836735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B501-68CB-41A2-9147-FB714368BD97}">
  <dimension ref="A1:E39"/>
  <sheetViews>
    <sheetView workbookViewId="0">
      <selection activeCell="B9" sqref="B9"/>
    </sheetView>
  </sheetViews>
  <sheetFormatPr defaultRowHeight="15" x14ac:dyDescent="0.25"/>
  <sheetData>
    <row r="1" spans="1:5" x14ac:dyDescent="0.25">
      <c r="A1" t="s">
        <v>0</v>
      </c>
      <c r="B1">
        <f>$B$6+B4</f>
        <v>25.5</v>
      </c>
      <c r="C1">
        <f>$B$6+C4</f>
        <v>24.5</v>
      </c>
      <c r="D1">
        <f>$B$6+D4</f>
        <v>23.5</v>
      </c>
      <c r="E1">
        <f>$B$6+E4</f>
        <v>23</v>
      </c>
    </row>
    <row r="2" spans="1:5" x14ac:dyDescent="0.25">
      <c r="A2" t="s">
        <v>1</v>
      </c>
      <c r="B2">
        <f>$B$6-B4</f>
        <v>19.5</v>
      </c>
      <c r="C2">
        <f>$B$6-C4</f>
        <v>20.5</v>
      </c>
      <c r="D2">
        <f>$B$6-D4</f>
        <v>21.5</v>
      </c>
      <c r="E2">
        <f>$B$6-E4</f>
        <v>22</v>
      </c>
    </row>
    <row r="3" spans="1:5" x14ac:dyDescent="0.25">
      <c r="B3">
        <f>AVERAGE(B1:B2)</f>
        <v>22.5</v>
      </c>
      <c r="C3">
        <f>AVERAGE(C1:C2)</f>
        <v>22.5</v>
      </c>
      <c r="D3">
        <f>AVERAGE(D1:D2)</f>
        <v>22.5</v>
      </c>
      <c r="E3">
        <f>AVERAGE(E1:E2)</f>
        <v>22.5</v>
      </c>
    </row>
    <row r="4" spans="1:5" x14ac:dyDescent="0.25">
      <c r="A4" t="s">
        <v>5</v>
      </c>
      <c r="B4">
        <v>3</v>
      </c>
      <c r="C4">
        <v>2</v>
      </c>
      <c r="D4">
        <v>1</v>
      </c>
      <c r="E4">
        <v>0.5</v>
      </c>
    </row>
    <row r="5" spans="1:5" x14ac:dyDescent="0.25">
      <c r="A5" t="s">
        <v>15</v>
      </c>
      <c r="B5">
        <v>0.7</v>
      </c>
    </row>
    <row r="6" spans="1:5" x14ac:dyDescent="0.25">
      <c r="A6" t="s">
        <v>4</v>
      </c>
      <c r="B6">
        <v>22.5</v>
      </c>
    </row>
    <row r="8" spans="1:5" x14ac:dyDescent="0.25">
      <c r="A8" t="s">
        <v>2</v>
      </c>
      <c r="B8" t="s">
        <v>3</v>
      </c>
      <c r="C8" t="s">
        <v>16</v>
      </c>
    </row>
    <row r="9" spans="1:5" x14ac:dyDescent="0.25">
      <c r="A9">
        <v>15</v>
      </c>
      <c r="B9">
        <f>(A9-AVERAGE(B$1:B$2))/(B$1-B$2)</f>
        <v>-1.25</v>
      </c>
      <c r="C9">
        <f t="shared" ref="C9:C39" si="0">1-(A9-$B$6)^2/(B$1-B$2)</f>
        <v>-8.375</v>
      </c>
    </row>
    <row r="10" spans="1:5" x14ac:dyDescent="0.25">
      <c r="A10">
        <v>15.5</v>
      </c>
      <c r="B10">
        <f t="shared" ref="B10:B39" si="1">(A10-AVERAGE(B$1:B$2))/(B$1-B$2)</f>
        <v>-1.1666666666666667</v>
      </c>
      <c r="C10">
        <f t="shared" si="0"/>
        <v>-7.1666666666666661</v>
      </c>
    </row>
    <row r="11" spans="1:5" x14ac:dyDescent="0.25">
      <c r="A11">
        <v>16</v>
      </c>
      <c r="B11">
        <f t="shared" si="1"/>
        <v>-1.0833333333333333</v>
      </c>
      <c r="C11">
        <f t="shared" si="0"/>
        <v>-6.041666666666667</v>
      </c>
    </row>
    <row r="12" spans="1:5" x14ac:dyDescent="0.25">
      <c r="A12">
        <v>16.5</v>
      </c>
      <c r="B12">
        <f t="shared" si="1"/>
        <v>-1</v>
      </c>
      <c r="C12">
        <f t="shared" si="0"/>
        <v>-5</v>
      </c>
    </row>
    <row r="13" spans="1:5" x14ac:dyDescent="0.25">
      <c r="A13">
        <v>17</v>
      </c>
      <c r="B13">
        <f t="shared" si="1"/>
        <v>-0.91666666666666663</v>
      </c>
      <c r="C13">
        <f t="shared" si="0"/>
        <v>-4.041666666666667</v>
      </c>
    </row>
    <row r="14" spans="1:5" x14ac:dyDescent="0.25">
      <c r="A14">
        <v>17.5</v>
      </c>
      <c r="B14">
        <f t="shared" si="1"/>
        <v>-0.83333333333333337</v>
      </c>
      <c r="C14">
        <f t="shared" si="0"/>
        <v>-3.166666666666667</v>
      </c>
    </row>
    <row r="15" spans="1:5" x14ac:dyDescent="0.25">
      <c r="A15">
        <v>18</v>
      </c>
      <c r="B15">
        <f t="shared" si="1"/>
        <v>-0.75</v>
      </c>
      <c r="C15">
        <f t="shared" si="0"/>
        <v>-2.375</v>
      </c>
    </row>
    <row r="16" spans="1:5" x14ac:dyDescent="0.25">
      <c r="A16">
        <v>18.5</v>
      </c>
      <c r="B16">
        <f t="shared" si="1"/>
        <v>-0.66666666666666663</v>
      </c>
      <c r="C16">
        <f t="shared" si="0"/>
        <v>-1.6666666666666665</v>
      </c>
    </row>
    <row r="17" spans="1:3" x14ac:dyDescent="0.25">
      <c r="A17">
        <v>19</v>
      </c>
      <c r="B17">
        <f t="shared" si="1"/>
        <v>-0.58333333333333337</v>
      </c>
      <c r="C17">
        <f t="shared" si="0"/>
        <v>-1.0416666666666665</v>
      </c>
    </row>
    <row r="18" spans="1:3" x14ac:dyDescent="0.25">
      <c r="A18">
        <v>19.5</v>
      </c>
      <c r="B18">
        <f t="shared" si="1"/>
        <v>-0.5</v>
      </c>
      <c r="C18">
        <f t="shared" si="0"/>
        <v>-0.5</v>
      </c>
    </row>
    <row r="19" spans="1:3" x14ac:dyDescent="0.25">
      <c r="A19">
        <v>20</v>
      </c>
      <c r="B19">
        <f t="shared" si="1"/>
        <v>-0.41666666666666669</v>
      </c>
      <c r="C19">
        <f t="shared" si="0"/>
        <v>-4.1666666666666741E-2</v>
      </c>
    </row>
    <row r="20" spans="1:3" x14ac:dyDescent="0.25">
      <c r="A20">
        <v>20.5</v>
      </c>
      <c r="B20">
        <f t="shared" si="1"/>
        <v>-0.33333333333333331</v>
      </c>
      <c r="C20">
        <f t="shared" si="0"/>
        <v>0.33333333333333337</v>
      </c>
    </row>
    <row r="21" spans="1:3" x14ac:dyDescent="0.25">
      <c r="A21">
        <v>21</v>
      </c>
      <c r="B21">
        <f t="shared" si="1"/>
        <v>-0.25</v>
      </c>
      <c r="C21">
        <f t="shared" si="0"/>
        <v>0.625</v>
      </c>
    </row>
    <row r="22" spans="1:3" x14ac:dyDescent="0.25">
      <c r="A22">
        <v>21.5</v>
      </c>
      <c r="B22">
        <f t="shared" si="1"/>
        <v>-0.16666666666666666</v>
      </c>
      <c r="C22">
        <f t="shared" si="0"/>
        <v>0.83333333333333337</v>
      </c>
    </row>
    <row r="23" spans="1:3" x14ac:dyDescent="0.25">
      <c r="A23">
        <v>22</v>
      </c>
      <c r="B23">
        <f t="shared" si="1"/>
        <v>-8.3333333333333329E-2</v>
      </c>
      <c r="C23">
        <f t="shared" si="0"/>
        <v>0.95833333333333337</v>
      </c>
    </row>
    <row r="24" spans="1:3" x14ac:dyDescent="0.25">
      <c r="A24">
        <v>22.5</v>
      </c>
      <c r="B24">
        <f t="shared" si="1"/>
        <v>0</v>
      </c>
      <c r="C24">
        <f t="shared" si="0"/>
        <v>1</v>
      </c>
    </row>
    <row r="25" spans="1:3" x14ac:dyDescent="0.25">
      <c r="A25">
        <v>23</v>
      </c>
      <c r="B25">
        <f t="shared" si="1"/>
        <v>8.3333333333333329E-2</v>
      </c>
      <c r="C25">
        <f t="shared" si="0"/>
        <v>0.95833333333333337</v>
      </c>
    </row>
    <row r="26" spans="1:3" x14ac:dyDescent="0.25">
      <c r="A26">
        <v>23.5</v>
      </c>
      <c r="B26">
        <f t="shared" si="1"/>
        <v>0.16666666666666666</v>
      </c>
      <c r="C26">
        <f t="shared" si="0"/>
        <v>0.83333333333333337</v>
      </c>
    </row>
    <row r="27" spans="1:3" x14ac:dyDescent="0.25">
      <c r="A27">
        <v>24</v>
      </c>
      <c r="B27">
        <f t="shared" si="1"/>
        <v>0.25</v>
      </c>
      <c r="C27">
        <f t="shared" si="0"/>
        <v>0.625</v>
      </c>
    </row>
    <row r="28" spans="1:3" x14ac:dyDescent="0.25">
      <c r="A28">
        <v>24.5</v>
      </c>
      <c r="B28">
        <f t="shared" si="1"/>
        <v>0.33333333333333331</v>
      </c>
      <c r="C28">
        <f t="shared" si="0"/>
        <v>0.33333333333333337</v>
      </c>
    </row>
    <row r="29" spans="1:3" x14ac:dyDescent="0.25">
      <c r="A29">
        <v>25</v>
      </c>
      <c r="B29">
        <f t="shared" si="1"/>
        <v>0.41666666666666669</v>
      </c>
      <c r="C29">
        <f t="shared" si="0"/>
        <v>-4.1666666666666741E-2</v>
      </c>
    </row>
    <row r="30" spans="1:3" x14ac:dyDescent="0.25">
      <c r="A30">
        <v>25.5</v>
      </c>
      <c r="B30">
        <f t="shared" si="1"/>
        <v>0.5</v>
      </c>
      <c r="C30">
        <f t="shared" si="0"/>
        <v>-0.5</v>
      </c>
    </row>
    <row r="31" spans="1:3" x14ac:dyDescent="0.25">
      <c r="A31">
        <v>26</v>
      </c>
      <c r="B31">
        <f t="shared" si="1"/>
        <v>0.58333333333333337</v>
      </c>
      <c r="C31">
        <f t="shared" si="0"/>
        <v>-1.0416666666666665</v>
      </c>
    </row>
    <row r="32" spans="1:3" x14ac:dyDescent="0.25">
      <c r="A32">
        <v>26.5</v>
      </c>
      <c r="B32">
        <f t="shared" si="1"/>
        <v>0.66666666666666663</v>
      </c>
      <c r="C32">
        <f t="shared" si="0"/>
        <v>-1.6666666666666665</v>
      </c>
    </row>
    <row r="33" spans="1:3" x14ac:dyDescent="0.25">
      <c r="A33">
        <v>27</v>
      </c>
      <c r="B33">
        <f t="shared" si="1"/>
        <v>0.75</v>
      </c>
      <c r="C33">
        <f t="shared" si="0"/>
        <v>-2.375</v>
      </c>
    </row>
    <row r="34" spans="1:3" x14ac:dyDescent="0.25">
      <c r="A34">
        <v>27.5</v>
      </c>
      <c r="B34">
        <f t="shared" si="1"/>
        <v>0.83333333333333337</v>
      </c>
      <c r="C34">
        <f t="shared" si="0"/>
        <v>-3.166666666666667</v>
      </c>
    </row>
    <row r="35" spans="1:3" x14ac:dyDescent="0.25">
      <c r="A35">
        <v>28</v>
      </c>
      <c r="B35">
        <f t="shared" si="1"/>
        <v>0.91666666666666663</v>
      </c>
      <c r="C35">
        <f t="shared" si="0"/>
        <v>-4.041666666666667</v>
      </c>
    </row>
    <row r="36" spans="1:3" x14ac:dyDescent="0.25">
      <c r="A36">
        <v>28.5</v>
      </c>
      <c r="B36">
        <f t="shared" si="1"/>
        <v>1</v>
      </c>
      <c r="C36">
        <f t="shared" si="0"/>
        <v>-5</v>
      </c>
    </row>
    <row r="37" spans="1:3" x14ac:dyDescent="0.25">
      <c r="A37">
        <v>29</v>
      </c>
      <c r="B37">
        <f t="shared" si="1"/>
        <v>1.0833333333333333</v>
      </c>
      <c r="C37">
        <f t="shared" si="0"/>
        <v>-6.041666666666667</v>
      </c>
    </row>
    <row r="38" spans="1:3" x14ac:dyDescent="0.25">
      <c r="A38">
        <v>29.5</v>
      </c>
      <c r="B38">
        <f t="shared" si="1"/>
        <v>1.1666666666666667</v>
      </c>
      <c r="C38">
        <f t="shared" si="0"/>
        <v>-7.1666666666666661</v>
      </c>
    </row>
    <row r="39" spans="1:3" x14ac:dyDescent="0.25">
      <c r="A39">
        <v>30</v>
      </c>
      <c r="B39">
        <f t="shared" si="1"/>
        <v>1.25</v>
      </c>
      <c r="C39">
        <f t="shared" si="0"/>
        <v>-8.375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6C63-00BE-41CB-A60E-94EB386A362C}">
  <dimension ref="A1:E21"/>
  <sheetViews>
    <sheetView workbookViewId="0">
      <selection activeCell="A5" sqref="A5"/>
    </sheetView>
  </sheetViews>
  <sheetFormatPr defaultRowHeight="15" x14ac:dyDescent="0.25"/>
  <sheetData>
    <row r="1" spans="1:5" x14ac:dyDescent="0.25">
      <c r="A1" t="s">
        <v>8</v>
      </c>
      <c r="B1">
        <v>5</v>
      </c>
      <c r="C1">
        <v>15</v>
      </c>
      <c r="E1" t="s">
        <v>9</v>
      </c>
    </row>
    <row r="2" spans="1:5" x14ac:dyDescent="0.25">
      <c r="A2" t="s">
        <v>7</v>
      </c>
      <c r="B2" t="s">
        <v>17</v>
      </c>
      <c r="C2" t="s">
        <v>18</v>
      </c>
    </row>
    <row r="3" spans="1:5" x14ac:dyDescent="0.25">
      <c r="A3">
        <v>0.1</v>
      </c>
      <c r="B3">
        <f t="shared" ref="B3:C5" si="0">$A3/B$1</f>
        <v>0.02</v>
      </c>
      <c r="C3">
        <f t="shared" si="0"/>
        <v>6.6666666666666671E-3</v>
      </c>
    </row>
    <row r="4" spans="1:5" x14ac:dyDescent="0.25">
      <c r="A4">
        <v>0.25</v>
      </c>
      <c r="B4">
        <f t="shared" si="0"/>
        <v>0.05</v>
      </c>
      <c r="C4">
        <f t="shared" si="0"/>
        <v>1.6666666666666666E-2</v>
      </c>
    </row>
    <row r="5" spans="1:5" x14ac:dyDescent="0.25">
      <c r="A5">
        <v>0.5</v>
      </c>
      <c r="B5">
        <f>$A5/B$1</f>
        <v>0.1</v>
      </c>
      <c r="C5">
        <f t="shared" si="0"/>
        <v>3.3333333333333333E-2</v>
      </c>
    </row>
    <row r="6" spans="1:5" x14ac:dyDescent="0.25">
      <c r="A6">
        <v>1</v>
      </c>
      <c r="B6">
        <f t="shared" ref="B6:B21" si="1">A6/B$1</f>
        <v>0.2</v>
      </c>
      <c r="C6">
        <f t="shared" ref="C6:C21" si="2">$A6/C$1</f>
        <v>6.6666666666666666E-2</v>
      </c>
    </row>
    <row r="7" spans="1:5" x14ac:dyDescent="0.25">
      <c r="A7">
        <v>1.5</v>
      </c>
      <c r="B7">
        <f t="shared" si="1"/>
        <v>0.3</v>
      </c>
      <c r="C7">
        <f t="shared" si="2"/>
        <v>0.1</v>
      </c>
    </row>
    <row r="8" spans="1:5" x14ac:dyDescent="0.25">
      <c r="A8">
        <v>2</v>
      </c>
      <c r="B8">
        <f t="shared" si="1"/>
        <v>0.4</v>
      </c>
      <c r="C8">
        <f t="shared" si="2"/>
        <v>0.13333333333333333</v>
      </c>
    </row>
    <row r="9" spans="1:5" x14ac:dyDescent="0.25">
      <c r="A9">
        <v>2.5</v>
      </c>
      <c r="B9">
        <f t="shared" si="1"/>
        <v>0.5</v>
      </c>
      <c r="C9">
        <f t="shared" si="2"/>
        <v>0.16666666666666666</v>
      </c>
    </row>
    <row r="10" spans="1:5" x14ac:dyDescent="0.25">
      <c r="A10">
        <v>3</v>
      </c>
      <c r="B10">
        <f t="shared" si="1"/>
        <v>0.6</v>
      </c>
      <c r="C10">
        <f t="shared" si="2"/>
        <v>0.2</v>
      </c>
    </row>
    <row r="11" spans="1:5" x14ac:dyDescent="0.25">
      <c r="A11">
        <v>3.5</v>
      </c>
      <c r="B11">
        <f t="shared" si="1"/>
        <v>0.7</v>
      </c>
      <c r="C11">
        <f t="shared" si="2"/>
        <v>0.23333333333333334</v>
      </c>
    </row>
    <row r="12" spans="1:5" x14ac:dyDescent="0.25">
      <c r="A12">
        <v>4</v>
      </c>
      <c r="B12">
        <f t="shared" si="1"/>
        <v>0.8</v>
      </c>
      <c r="C12">
        <f t="shared" si="2"/>
        <v>0.26666666666666666</v>
      </c>
    </row>
    <row r="13" spans="1:5" x14ac:dyDescent="0.25">
      <c r="A13">
        <v>4.5</v>
      </c>
      <c r="B13">
        <f t="shared" si="1"/>
        <v>0.9</v>
      </c>
      <c r="C13">
        <f t="shared" si="2"/>
        <v>0.3</v>
      </c>
    </row>
    <row r="14" spans="1:5" x14ac:dyDescent="0.25">
      <c r="A14">
        <v>5</v>
      </c>
      <c r="B14">
        <f t="shared" si="1"/>
        <v>1</v>
      </c>
      <c r="C14">
        <f t="shared" si="2"/>
        <v>0.33333333333333331</v>
      </c>
    </row>
    <row r="15" spans="1:5" x14ac:dyDescent="0.25">
      <c r="A15">
        <v>5.5</v>
      </c>
      <c r="B15">
        <f t="shared" si="1"/>
        <v>1.1000000000000001</v>
      </c>
      <c r="C15">
        <f t="shared" si="2"/>
        <v>0.36666666666666664</v>
      </c>
    </row>
    <row r="16" spans="1:5" x14ac:dyDescent="0.25">
      <c r="A16">
        <v>6</v>
      </c>
      <c r="B16">
        <f t="shared" si="1"/>
        <v>1.2</v>
      </c>
      <c r="C16">
        <f t="shared" si="2"/>
        <v>0.4</v>
      </c>
    </row>
    <row r="17" spans="1:3" x14ac:dyDescent="0.25">
      <c r="A17">
        <v>6.5</v>
      </c>
      <c r="B17">
        <f t="shared" si="1"/>
        <v>1.3</v>
      </c>
      <c r="C17">
        <f t="shared" si="2"/>
        <v>0.43333333333333335</v>
      </c>
    </row>
    <row r="18" spans="1:3" x14ac:dyDescent="0.25">
      <c r="A18">
        <v>7</v>
      </c>
      <c r="B18">
        <f t="shared" si="1"/>
        <v>1.4</v>
      </c>
      <c r="C18">
        <f t="shared" si="2"/>
        <v>0.46666666666666667</v>
      </c>
    </row>
    <row r="19" spans="1:3" x14ac:dyDescent="0.25">
      <c r="A19">
        <v>7.5</v>
      </c>
      <c r="B19">
        <f t="shared" si="1"/>
        <v>1.5</v>
      </c>
      <c r="C19">
        <f t="shared" si="2"/>
        <v>0.5</v>
      </c>
    </row>
    <row r="20" spans="1:3" x14ac:dyDescent="0.25">
      <c r="A20">
        <v>8</v>
      </c>
      <c r="B20">
        <f t="shared" si="1"/>
        <v>1.6</v>
      </c>
      <c r="C20">
        <f t="shared" si="2"/>
        <v>0.53333333333333333</v>
      </c>
    </row>
    <row r="21" spans="1:3" x14ac:dyDescent="0.25">
      <c r="A21">
        <v>8.5</v>
      </c>
      <c r="B21">
        <f t="shared" si="1"/>
        <v>1.7</v>
      </c>
      <c r="C21">
        <f t="shared" si="2"/>
        <v>0.56666666666666665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5B89-380D-4A9E-B2B1-12B37C9377C1}">
  <dimension ref="A1:F16"/>
  <sheetViews>
    <sheetView topLeftCell="A4" workbookViewId="0">
      <selection activeCell="B5" sqref="B5"/>
    </sheetView>
  </sheetViews>
  <sheetFormatPr defaultRowHeight="15" x14ac:dyDescent="0.25"/>
  <sheetData>
    <row r="1" spans="1:6" x14ac:dyDescent="0.25">
      <c r="A1" t="s">
        <v>19</v>
      </c>
      <c r="B1">
        <v>22.5</v>
      </c>
    </row>
    <row r="4" spans="1:6" x14ac:dyDescent="0.25">
      <c r="A4" t="s">
        <v>20</v>
      </c>
      <c r="B4" t="s">
        <v>21</v>
      </c>
      <c r="C4" t="s">
        <v>22</v>
      </c>
      <c r="D4" t="s">
        <v>23</v>
      </c>
      <c r="E4" t="s">
        <v>22</v>
      </c>
    </row>
    <row r="5" spans="1:6" x14ac:dyDescent="0.25">
      <c r="A5">
        <v>0.1</v>
      </c>
      <c r="B5">
        <f t="shared" ref="B5:B6" si="0">$B$1+$A5</f>
        <v>22.6</v>
      </c>
      <c r="C5">
        <f t="shared" ref="C5:C6" si="1">$B$1-$A5</f>
        <v>22.4</v>
      </c>
      <c r="D5">
        <f t="shared" ref="D5:D6" si="2">B5/$B$1</f>
        <v>1.0044444444444445</v>
      </c>
      <c r="E5">
        <f t="shared" ref="E5:E6" si="3">C5/$B$1</f>
        <v>0.99555555555555553</v>
      </c>
      <c r="F5">
        <f t="shared" ref="F5:F6" si="4">D5-E5</f>
        <v>8.8888888888889461E-3</v>
      </c>
    </row>
    <row r="6" spans="1:6" x14ac:dyDescent="0.25">
      <c r="A6">
        <v>0.25</v>
      </c>
      <c r="B6">
        <f t="shared" si="0"/>
        <v>22.75</v>
      </c>
      <c r="C6">
        <f t="shared" si="1"/>
        <v>22.25</v>
      </c>
      <c r="D6">
        <f t="shared" si="2"/>
        <v>1.0111111111111111</v>
      </c>
      <c r="E6">
        <f t="shared" si="3"/>
        <v>0.98888888888888893</v>
      </c>
      <c r="F6">
        <f t="shared" si="4"/>
        <v>2.2222222222222143E-2</v>
      </c>
    </row>
    <row r="7" spans="1:6" x14ac:dyDescent="0.25">
      <c r="A7">
        <v>0.5</v>
      </c>
      <c r="B7">
        <f>$B$1+$A7</f>
        <v>23</v>
      </c>
      <c r="C7">
        <f>$B$1-$A7</f>
        <v>22</v>
      </c>
      <c r="D7">
        <f>B7/$B$1</f>
        <v>1.0222222222222221</v>
      </c>
      <c r="E7">
        <f>C7/$B$1</f>
        <v>0.97777777777777775</v>
      </c>
      <c r="F7">
        <f>D7-E7</f>
        <v>4.4444444444444398E-2</v>
      </c>
    </row>
    <row r="8" spans="1:6" x14ac:dyDescent="0.25">
      <c r="A8">
        <v>1</v>
      </c>
      <c r="B8">
        <f t="shared" ref="B8:B16" si="5">$B$1+$A8</f>
        <v>23.5</v>
      </c>
      <c r="C8">
        <f t="shared" ref="C8:C16" si="6">$B$1-$A8</f>
        <v>21.5</v>
      </c>
      <c r="D8">
        <f t="shared" ref="D8:E16" si="7">B8/$B$1</f>
        <v>1.0444444444444445</v>
      </c>
      <c r="E8">
        <f t="shared" si="7"/>
        <v>0.9555555555555556</v>
      </c>
      <c r="F8">
        <f t="shared" ref="F8:F16" si="8">D8-E8</f>
        <v>8.8888888888888906E-2</v>
      </c>
    </row>
    <row r="9" spans="1:6" x14ac:dyDescent="0.25">
      <c r="A9">
        <v>1.5</v>
      </c>
      <c r="B9">
        <f t="shared" si="5"/>
        <v>24</v>
      </c>
      <c r="C9">
        <f t="shared" si="6"/>
        <v>21</v>
      </c>
      <c r="D9">
        <f t="shared" si="7"/>
        <v>1.0666666666666667</v>
      </c>
      <c r="E9">
        <f t="shared" si="7"/>
        <v>0.93333333333333335</v>
      </c>
      <c r="F9">
        <f t="shared" si="8"/>
        <v>0.1333333333333333</v>
      </c>
    </row>
    <row r="10" spans="1:6" x14ac:dyDescent="0.25">
      <c r="A10">
        <v>2</v>
      </c>
      <c r="B10">
        <f t="shared" si="5"/>
        <v>24.5</v>
      </c>
      <c r="C10">
        <f t="shared" si="6"/>
        <v>20.5</v>
      </c>
      <c r="D10">
        <f t="shared" si="7"/>
        <v>1.0888888888888888</v>
      </c>
      <c r="E10">
        <f t="shared" si="7"/>
        <v>0.91111111111111109</v>
      </c>
      <c r="F10">
        <f t="shared" si="8"/>
        <v>0.1777777777777777</v>
      </c>
    </row>
    <row r="11" spans="1:6" x14ac:dyDescent="0.25">
      <c r="A11">
        <v>2.5</v>
      </c>
      <c r="B11">
        <f t="shared" si="5"/>
        <v>25</v>
      </c>
      <c r="C11">
        <f t="shared" si="6"/>
        <v>20</v>
      </c>
      <c r="D11">
        <f t="shared" si="7"/>
        <v>1.1111111111111112</v>
      </c>
      <c r="E11">
        <f t="shared" si="7"/>
        <v>0.88888888888888884</v>
      </c>
      <c r="F11">
        <f t="shared" si="8"/>
        <v>0.22222222222222232</v>
      </c>
    </row>
    <row r="12" spans="1:6" x14ac:dyDescent="0.25">
      <c r="A12">
        <v>3</v>
      </c>
      <c r="B12">
        <f t="shared" si="5"/>
        <v>25.5</v>
      </c>
      <c r="C12">
        <f t="shared" si="6"/>
        <v>19.5</v>
      </c>
      <c r="D12">
        <f t="shared" si="7"/>
        <v>1.1333333333333333</v>
      </c>
      <c r="E12">
        <f t="shared" si="7"/>
        <v>0.8666666666666667</v>
      </c>
      <c r="F12">
        <f t="shared" si="8"/>
        <v>0.26666666666666661</v>
      </c>
    </row>
    <row r="13" spans="1:6" x14ac:dyDescent="0.25">
      <c r="A13">
        <v>3.5</v>
      </c>
      <c r="B13">
        <f t="shared" si="5"/>
        <v>26</v>
      </c>
      <c r="C13">
        <f t="shared" si="6"/>
        <v>19</v>
      </c>
      <c r="D13">
        <f t="shared" si="7"/>
        <v>1.1555555555555554</v>
      </c>
      <c r="E13">
        <f t="shared" si="7"/>
        <v>0.84444444444444444</v>
      </c>
      <c r="F13">
        <f t="shared" si="8"/>
        <v>0.31111111111111101</v>
      </c>
    </row>
    <row r="14" spans="1:6" x14ac:dyDescent="0.25">
      <c r="A14">
        <v>4</v>
      </c>
      <c r="B14">
        <f t="shared" si="5"/>
        <v>26.5</v>
      </c>
      <c r="C14">
        <f t="shared" si="6"/>
        <v>18.5</v>
      </c>
      <c r="D14">
        <f t="shared" si="7"/>
        <v>1.1777777777777778</v>
      </c>
      <c r="E14">
        <f t="shared" si="7"/>
        <v>0.82222222222222219</v>
      </c>
      <c r="F14">
        <f t="shared" si="8"/>
        <v>0.35555555555555562</v>
      </c>
    </row>
    <row r="15" spans="1:6" x14ac:dyDescent="0.25">
      <c r="A15">
        <v>4.5</v>
      </c>
      <c r="B15">
        <f t="shared" si="5"/>
        <v>27</v>
      </c>
      <c r="C15">
        <f t="shared" si="6"/>
        <v>18</v>
      </c>
      <c r="D15">
        <f t="shared" si="7"/>
        <v>1.2</v>
      </c>
      <c r="E15">
        <f t="shared" si="7"/>
        <v>0.8</v>
      </c>
      <c r="F15">
        <f t="shared" si="8"/>
        <v>0.39999999999999991</v>
      </c>
    </row>
    <row r="16" spans="1:6" x14ac:dyDescent="0.25">
      <c r="A16">
        <v>5</v>
      </c>
      <c r="B16">
        <f t="shared" si="5"/>
        <v>27.5</v>
      </c>
      <c r="C16">
        <f t="shared" si="6"/>
        <v>17.5</v>
      </c>
      <c r="D16">
        <f t="shared" si="7"/>
        <v>1.2222222222222223</v>
      </c>
      <c r="E16">
        <f t="shared" si="7"/>
        <v>0.77777777777777779</v>
      </c>
      <c r="F16">
        <f t="shared" si="8"/>
        <v>0.44444444444444453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Reward</vt:lpstr>
      <vt:lpstr>Reward Type 3</vt:lpstr>
      <vt:lpstr>Reward TYpe 4</vt:lpstr>
      <vt:lpstr>Reward Type 2</vt:lpstr>
      <vt:lpstr>Rate change</vt:lpstr>
      <vt:lpstr>Boundary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Yaju Rajbhandari (Umail)</dc:creator>
  <cp:lastModifiedBy>Yaju Rajbhandari</cp:lastModifiedBy>
  <dcterms:created xsi:type="dcterms:W3CDTF">2026-02-24T17:03:02Z</dcterms:created>
  <dcterms:modified xsi:type="dcterms:W3CDTF">2026-03-20T17:04:35Z</dcterms:modified>
</cp:coreProperties>
</file>