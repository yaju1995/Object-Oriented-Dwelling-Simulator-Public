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juR\Desktop\Autonomy\Dwelling_simulator\SRC\Controller\EV_controller\"/>
    </mc:Choice>
  </mc:AlternateContent>
  <xr:revisionPtr revIDLastSave="0" documentId="13_ncr:1_{239E1A14-922A-4304-B3A0-99CDBCEC4CAF}" xr6:coauthVersionLast="47" xr6:coauthVersionMax="47" xr10:uidLastSave="{00000000-0000-0000-0000-000000000000}"/>
  <bookViews>
    <workbookView xWindow="28680" yWindow="-120" windowWidth="19440" windowHeight="14880" activeTab="1" xr2:uid="{8F0ED970-F709-49EA-8AA7-F703E9F2BF88}"/>
  </bookViews>
  <sheets>
    <sheet name="Sheet1" sheetId="1" r:id="rId1"/>
    <sheet name="Sheet2" sheetId="2" r:id="rId2"/>
    <sheet name="Sheet3" sheetId="3" r:id="rId3"/>
  </sheets>
  <definedNames>
    <definedName name="_xlnm._FilterDatabase" localSheetId="2" hidden="1">Sheet3!$B$5:$W$16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0" i="2" l="1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29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4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29" i="2"/>
  <c r="D27" i="2" l="1"/>
  <c r="D36" i="2" s="1"/>
  <c r="D43" i="2"/>
  <c r="D42" i="2"/>
  <c r="D41" i="2"/>
  <c r="D40" i="2"/>
  <c r="D39" i="2"/>
  <c r="D38" i="2"/>
  <c r="D37" i="2"/>
  <c r="B5" i="2"/>
  <c r="Z6" i="2" s="1"/>
  <c r="B6" i="2"/>
  <c r="B7" i="2"/>
  <c r="B8" i="2"/>
  <c r="B9" i="2"/>
  <c r="B10" i="2"/>
  <c r="Z11" i="2" s="1"/>
  <c r="B11" i="2"/>
  <c r="B12" i="2"/>
  <c r="B13" i="2"/>
  <c r="Z14" i="2" s="1"/>
  <c r="B14" i="2"/>
  <c r="Z15" i="2" s="1"/>
  <c r="B15" i="2"/>
  <c r="Z16" i="2" s="1"/>
  <c r="B16" i="2"/>
  <c r="Z17" i="2" s="1"/>
  <c r="B17" i="2"/>
  <c r="D17" i="2" s="1"/>
  <c r="B18" i="2"/>
  <c r="Z19" i="2" s="1"/>
  <c r="B19" i="2"/>
  <c r="B20" i="2"/>
  <c r="B21" i="2"/>
  <c r="B22" i="2"/>
  <c r="B23" i="2"/>
  <c r="B24" i="2"/>
  <c r="Z25" i="2" s="1"/>
  <c r="B4" i="2"/>
  <c r="Z5" i="2" s="1"/>
  <c r="C36" i="1"/>
  <c r="D36" i="1"/>
  <c r="E36" i="1"/>
  <c r="F36" i="1"/>
  <c r="G36" i="1"/>
  <c r="H36" i="1"/>
  <c r="I36" i="1"/>
  <c r="J36" i="1"/>
  <c r="K36" i="1"/>
  <c r="L36" i="1"/>
  <c r="M36" i="1"/>
  <c r="B36" i="1"/>
  <c r="C34" i="1"/>
  <c r="D34" i="1"/>
  <c r="E34" i="1"/>
  <c r="F34" i="1"/>
  <c r="G34" i="1"/>
  <c r="H34" i="1"/>
  <c r="I34" i="1"/>
  <c r="J34" i="1"/>
  <c r="K34" i="1"/>
  <c r="L34" i="1"/>
  <c r="M34" i="1"/>
  <c r="B34" i="1"/>
  <c r="C19" i="1"/>
  <c r="D19" i="1"/>
  <c r="E19" i="1"/>
  <c r="F19" i="1"/>
  <c r="G19" i="1"/>
  <c r="H19" i="1"/>
  <c r="I19" i="1"/>
  <c r="J19" i="1"/>
  <c r="K19" i="1"/>
  <c r="L19" i="1"/>
  <c r="C20" i="1"/>
  <c r="D20" i="1"/>
  <c r="E20" i="1"/>
  <c r="F20" i="1"/>
  <c r="G20" i="1"/>
  <c r="H20" i="1"/>
  <c r="I20" i="1"/>
  <c r="J20" i="1"/>
  <c r="K20" i="1"/>
  <c r="L20" i="1"/>
  <c r="C21" i="1"/>
  <c r="D21" i="1"/>
  <c r="E21" i="1"/>
  <c r="F21" i="1"/>
  <c r="G21" i="1"/>
  <c r="H21" i="1"/>
  <c r="I21" i="1"/>
  <c r="J21" i="1"/>
  <c r="K21" i="1"/>
  <c r="L21" i="1"/>
  <c r="C22" i="1"/>
  <c r="D22" i="1"/>
  <c r="E22" i="1"/>
  <c r="F22" i="1"/>
  <c r="G22" i="1"/>
  <c r="H22" i="1"/>
  <c r="I22" i="1"/>
  <c r="J22" i="1"/>
  <c r="K22" i="1"/>
  <c r="L22" i="1"/>
  <c r="C23" i="1"/>
  <c r="D23" i="1"/>
  <c r="E23" i="1"/>
  <c r="F23" i="1"/>
  <c r="G23" i="1"/>
  <c r="H23" i="1"/>
  <c r="I23" i="1"/>
  <c r="J23" i="1"/>
  <c r="K23" i="1"/>
  <c r="L23" i="1"/>
  <c r="C24" i="1"/>
  <c r="D24" i="1"/>
  <c r="E24" i="1"/>
  <c r="F24" i="1"/>
  <c r="G24" i="1"/>
  <c r="H24" i="1"/>
  <c r="I24" i="1"/>
  <c r="J24" i="1"/>
  <c r="K24" i="1"/>
  <c r="L24" i="1"/>
  <c r="C25" i="1"/>
  <c r="D25" i="1"/>
  <c r="E25" i="1"/>
  <c r="F25" i="1"/>
  <c r="G25" i="1"/>
  <c r="H25" i="1"/>
  <c r="I25" i="1"/>
  <c r="J25" i="1"/>
  <c r="K25" i="1"/>
  <c r="L25" i="1"/>
  <c r="C26" i="1"/>
  <c r="D26" i="1"/>
  <c r="E26" i="1"/>
  <c r="F26" i="1"/>
  <c r="G26" i="1"/>
  <c r="H26" i="1"/>
  <c r="I26" i="1"/>
  <c r="J26" i="1"/>
  <c r="K26" i="1"/>
  <c r="L26" i="1"/>
  <c r="C27" i="1"/>
  <c r="D27" i="1"/>
  <c r="E27" i="1"/>
  <c r="F27" i="1"/>
  <c r="G27" i="1"/>
  <c r="H27" i="1"/>
  <c r="I27" i="1"/>
  <c r="J27" i="1"/>
  <c r="K27" i="1"/>
  <c r="L27" i="1"/>
  <c r="B20" i="1"/>
  <c r="B21" i="1"/>
  <c r="B22" i="1"/>
  <c r="B23" i="1"/>
  <c r="B24" i="1"/>
  <c r="B25" i="1"/>
  <c r="B26" i="1"/>
  <c r="B27" i="1"/>
  <c r="B19" i="1"/>
  <c r="D6" i="1"/>
  <c r="D7" i="1"/>
  <c r="D8" i="1"/>
  <c r="D9" i="1"/>
  <c r="D10" i="1"/>
  <c r="D11" i="1"/>
  <c r="D12" i="1"/>
  <c r="D13" i="1"/>
  <c r="D14" i="1"/>
  <c r="D15" i="1"/>
  <c r="D5" i="1"/>
  <c r="C6" i="1"/>
  <c r="C7" i="1"/>
  <c r="C8" i="1"/>
  <c r="C9" i="1"/>
  <c r="C10" i="1"/>
  <c r="C11" i="1"/>
  <c r="C12" i="1"/>
  <c r="C13" i="1"/>
  <c r="C14" i="1"/>
  <c r="C15" i="1"/>
  <c r="C5" i="1"/>
  <c r="B6" i="1"/>
  <c r="B7" i="1"/>
  <c r="B8" i="1"/>
  <c r="B9" i="1"/>
  <c r="B10" i="1"/>
  <c r="B11" i="1"/>
  <c r="B12" i="1"/>
  <c r="B13" i="1"/>
  <c r="B14" i="1"/>
  <c r="B15" i="1"/>
  <c r="B5" i="1"/>
  <c r="D32" i="2" l="1"/>
  <c r="D34" i="2"/>
  <c r="Q34" i="2" s="1"/>
  <c r="D35" i="2"/>
  <c r="N35" i="2" s="1"/>
  <c r="D33" i="2"/>
  <c r="N33" i="2" s="1"/>
  <c r="V32" i="2"/>
  <c r="N32" i="2"/>
  <c r="O32" i="2"/>
  <c r="P32" i="2"/>
  <c r="Q32" i="2"/>
  <c r="R32" i="2"/>
  <c r="J32" i="2"/>
  <c r="S32" i="2"/>
  <c r="T32" i="2"/>
  <c r="I32" i="2"/>
  <c r="L32" i="2"/>
  <c r="M32" i="2"/>
  <c r="U32" i="2"/>
  <c r="H32" i="2"/>
  <c r="F32" i="2"/>
  <c r="G32" i="2"/>
  <c r="K32" i="2"/>
  <c r="D46" i="2"/>
  <c r="L33" i="2"/>
  <c r="S33" i="2"/>
  <c r="T33" i="2"/>
  <c r="U33" i="2"/>
  <c r="H33" i="2"/>
  <c r="M33" i="2"/>
  <c r="Q33" i="2"/>
  <c r="J33" i="2"/>
  <c r="I33" i="2"/>
  <c r="K33" i="2"/>
  <c r="V33" i="2"/>
  <c r="F33" i="2"/>
  <c r="K34" i="2"/>
  <c r="J34" i="2"/>
  <c r="P34" i="2"/>
  <c r="R34" i="2"/>
  <c r="S34" i="2"/>
  <c r="T34" i="2"/>
  <c r="M34" i="2"/>
  <c r="L34" i="2"/>
  <c r="V34" i="2"/>
  <c r="H34" i="2"/>
  <c r="G34" i="2"/>
  <c r="O34" i="2"/>
  <c r="N34" i="2"/>
  <c r="U34" i="2"/>
  <c r="F34" i="2"/>
  <c r="J35" i="2"/>
  <c r="K35" i="2"/>
  <c r="M35" i="2"/>
  <c r="R35" i="2"/>
  <c r="O35" i="2"/>
  <c r="T35" i="2"/>
  <c r="F35" i="2"/>
  <c r="S35" i="2"/>
  <c r="V35" i="2"/>
  <c r="H35" i="2"/>
  <c r="P35" i="2"/>
  <c r="Q35" i="2"/>
  <c r="F36" i="2"/>
  <c r="L36" i="2"/>
  <c r="M36" i="2"/>
  <c r="N36" i="2"/>
  <c r="O36" i="2"/>
  <c r="V36" i="2"/>
  <c r="K36" i="2"/>
  <c r="P36" i="2"/>
  <c r="R36" i="2"/>
  <c r="I36" i="2"/>
  <c r="H36" i="2"/>
  <c r="U36" i="2"/>
  <c r="Q36" i="2"/>
  <c r="G36" i="2"/>
  <c r="S36" i="2"/>
  <c r="J36" i="2"/>
  <c r="T36" i="2"/>
  <c r="H37" i="2"/>
  <c r="G37" i="2"/>
  <c r="J37" i="2"/>
  <c r="Q37" i="2"/>
  <c r="I37" i="2"/>
  <c r="R37" i="2"/>
  <c r="S37" i="2"/>
  <c r="T37" i="2"/>
  <c r="V37" i="2"/>
  <c r="M37" i="2"/>
  <c r="U37" i="2"/>
  <c r="F37" i="2"/>
  <c r="L37" i="2"/>
  <c r="N37" i="2"/>
  <c r="K37" i="2"/>
  <c r="O37" i="2"/>
  <c r="P37" i="2"/>
  <c r="F38" i="2"/>
  <c r="L38" i="2"/>
  <c r="U38" i="2"/>
  <c r="M38" i="2"/>
  <c r="T38" i="2"/>
  <c r="N38" i="2"/>
  <c r="S38" i="2"/>
  <c r="O38" i="2"/>
  <c r="P38" i="2"/>
  <c r="I38" i="2"/>
  <c r="Q38" i="2"/>
  <c r="V38" i="2"/>
  <c r="R38" i="2"/>
  <c r="H38" i="2"/>
  <c r="K38" i="2"/>
  <c r="J38" i="2"/>
  <c r="G38" i="2"/>
  <c r="F39" i="2"/>
  <c r="H39" i="2"/>
  <c r="G39" i="2"/>
  <c r="R39" i="2"/>
  <c r="U39" i="2"/>
  <c r="I39" i="2"/>
  <c r="J39" i="2"/>
  <c r="Q39" i="2"/>
  <c r="K39" i="2"/>
  <c r="M39" i="2"/>
  <c r="N39" i="2"/>
  <c r="O39" i="2"/>
  <c r="V39" i="2"/>
  <c r="P39" i="2"/>
  <c r="S39" i="2"/>
  <c r="L39" i="2"/>
  <c r="T39" i="2"/>
  <c r="T40" i="2"/>
  <c r="Q40" i="2"/>
  <c r="R40" i="2"/>
  <c r="S40" i="2"/>
  <c r="K40" i="2"/>
  <c r="O40" i="2"/>
  <c r="F40" i="2"/>
  <c r="L40" i="2"/>
  <c r="M40" i="2"/>
  <c r="N40" i="2"/>
  <c r="U40" i="2"/>
  <c r="P40" i="2"/>
  <c r="H40" i="2"/>
  <c r="V40" i="2"/>
  <c r="I40" i="2"/>
  <c r="J40" i="2"/>
  <c r="G40" i="2"/>
  <c r="T41" i="2"/>
  <c r="Q41" i="2"/>
  <c r="G41" i="2"/>
  <c r="N41" i="2"/>
  <c r="F41" i="2"/>
  <c r="U41" i="2"/>
  <c r="H41" i="2"/>
  <c r="V41" i="2"/>
  <c r="I41" i="2"/>
  <c r="M41" i="2"/>
  <c r="J41" i="2"/>
  <c r="K41" i="2"/>
  <c r="P41" i="2"/>
  <c r="S41" i="2"/>
  <c r="R41" i="2"/>
  <c r="O41" i="2"/>
  <c r="L41" i="2"/>
  <c r="O42" i="2"/>
  <c r="Q42" i="2"/>
  <c r="R42" i="2"/>
  <c r="F42" i="2"/>
  <c r="L42" i="2"/>
  <c r="S42" i="2"/>
  <c r="T42" i="2"/>
  <c r="G42" i="2"/>
  <c r="H42" i="2"/>
  <c r="M42" i="2"/>
  <c r="P42" i="2"/>
  <c r="V42" i="2"/>
  <c r="I42" i="2"/>
  <c r="J42" i="2"/>
  <c r="N42" i="2"/>
  <c r="K42" i="2"/>
  <c r="U42" i="2"/>
  <c r="D29" i="2"/>
  <c r="U43" i="2"/>
  <c r="J43" i="2"/>
  <c r="H43" i="2"/>
  <c r="V43" i="2"/>
  <c r="I43" i="2"/>
  <c r="L43" i="2"/>
  <c r="P43" i="2"/>
  <c r="F43" i="2"/>
  <c r="N43" i="2"/>
  <c r="R43" i="2"/>
  <c r="K43" i="2"/>
  <c r="S43" i="2"/>
  <c r="T43" i="2"/>
  <c r="G43" i="2"/>
  <c r="M43" i="2"/>
  <c r="Q43" i="2"/>
  <c r="O43" i="2"/>
  <c r="D30" i="2"/>
  <c r="D44" i="2"/>
  <c r="D31" i="2"/>
  <c r="D45" i="2"/>
  <c r="D48" i="2"/>
  <c r="D47" i="2"/>
  <c r="D49" i="2"/>
  <c r="V49" i="2" s="1"/>
  <c r="E12" i="2"/>
  <c r="Z13" i="2"/>
  <c r="I11" i="2"/>
  <c r="G11" i="2"/>
  <c r="Z12" i="2"/>
  <c r="Z24" i="2"/>
  <c r="Z10" i="2"/>
  <c r="Z18" i="2"/>
  <c r="Z23" i="2"/>
  <c r="Z9" i="2"/>
  <c r="Z22" i="2"/>
  <c r="Z8" i="2"/>
  <c r="Z21" i="2"/>
  <c r="Z7" i="2"/>
  <c r="Z20" i="2"/>
  <c r="D5" i="2"/>
  <c r="E18" i="2"/>
  <c r="F16" i="2"/>
  <c r="F15" i="2"/>
  <c r="H11" i="2"/>
  <c r="D14" i="2"/>
  <c r="D13" i="2"/>
  <c r="G12" i="2"/>
  <c r="E24" i="2"/>
  <c r="D10" i="2"/>
  <c r="E4" i="2"/>
  <c r="D4" i="2"/>
  <c r="E11" i="2"/>
  <c r="D11" i="2"/>
  <c r="F14" i="2"/>
  <c r="L13" i="2"/>
  <c r="I4" i="2"/>
  <c r="L12" i="2"/>
  <c r="K12" i="2"/>
  <c r="K11" i="2"/>
  <c r="J15" i="2"/>
  <c r="E14" i="2"/>
  <c r="M14" i="2"/>
  <c r="I13" i="2"/>
  <c r="L14" i="2"/>
  <c r="H13" i="2"/>
  <c r="K14" i="2"/>
  <c r="F13" i="2"/>
  <c r="J14" i="2"/>
  <c r="F12" i="2"/>
  <c r="M13" i="2"/>
  <c r="K18" i="2"/>
  <c r="J16" i="2"/>
  <c r="L18" i="2"/>
  <c r="H17" i="2"/>
  <c r="F11" i="2"/>
  <c r="M11" i="2"/>
  <c r="G17" i="2"/>
  <c r="M15" i="2"/>
  <c r="L11" i="2"/>
  <c r="M18" i="2"/>
  <c r="I17" i="2"/>
  <c r="J12" i="2"/>
  <c r="H14" i="2"/>
  <c r="L15" i="2"/>
  <c r="G14" i="2"/>
  <c r="K15" i="2"/>
  <c r="J11" i="2"/>
  <c r="N17" i="2"/>
  <c r="L5" i="2"/>
  <c r="K5" i="2"/>
  <c r="J5" i="2"/>
  <c r="M4" i="2"/>
  <c r="L4" i="2"/>
  <c r="K4" i="2"/>
  <c r="J4" i="2"/>
  <c r="I5" i="2"/>
  <c r="F17" i="2"/>
  <c r="J18" i="2"/>
  <c r="E17" i="2"/>
  <c r="M24" i="2"/>
  <c r="M17" i="2"/>
  <c r="M10" i="2"/>
  <c r="I16" i="2"/>
  <c r="L24" i="2"/>
  <c r="L17" i="2"/>
  <c r="L10" i="2"/>
  <c r="D16" i="2"/>
  <c r="H16" i="2"/>
  <c r="K24" i="2"/>
  <c r="K17" i="2"/>
  <c r="K10" i="2"/>
  <c r="G16" i="2"/>
  <c r="J24" i="2"/>
  <c r="J17" i="2"/>
  <c r="J10" i="2"/>
  <c r="E16" i="2"/>
  <c r="M16" i="2"/>
  <c r="K13" i="2"/>
  <c r="E15" i="2"/>
  <c r="L16" i="2"/>
  <c r="J13" i="2"/>
  <c r="I14" i="2"/>
  <c r="K16" i="2"/>
  <c r="M12" i="2"/>
  <c r="M5" i="2"/>
  <c r="D24" i="2"/>
  <c r="H5" i="2"/>
  <c r="N10" i="2"/>
  <c r="D18" i="2"/>
  <c r="I10" i="2"/>
  <c r="F5" i="2"/>
  <c r="I24" i="2"/>
  <c r="N18" i="2"/>
  <c r="H24" i="2"/>
  <c r="G13" i="2"/>
  <c r="H10" i="2"/>
  <c r="E5" i="2"/>
  <c r="G24" i="2"/>
  <c r="N16" i="2"/>
  <c r="D15" i="2"/>
  <c r="F24" i="2"/>
  <c r="H18" i="2"/>
  <c r="I15" i="2"/>
  <c r="E13" i="2"/>
  <c r="F10" i="2"/>
  <c r="H4" i="2"/>
  <c r="N15" i="2"/>
  <c r="G18" i="2"/>
  <c r="H15" i="2"/>
  <c r="I12" i="2"/>
  <c r="E10" i="2"/>
  <c r="G4" i="2"/>
  <c r="G5" i="2"/>
  <c r="I18" i="2"/>
  <c r="G10" i="2"/>
  <c r="N14" i="2"/>
  <c r="F18" i="2"/>
  <c r="G15" i="2"/>
  <c r="H12" i="2"/>
  <c r="F4" i="2"/>
  <c r="N13" i="2"/>
  <c r="D12" i="2"/>
  <c r="N12" i="2"/>
  <c r="N11" i="2"/>
  <c r="N24" i="2"/>
  <c r="N23" i="2"/>
  <c r="N9" i="2"/>
  <c r="N8" i="2"/>
  <c r="N21" i="2"/>
  <c r="N7" i="2"/>
  <c r="N22" i="2"/>
  <c r="N20" i="2"/>
  <c r="N6" i="2"/>
  <c r="N19" i="2"/>
  <c r="N5" i="2"/>
  <c r="G33" i="2" l="1"/>
  <c r="L35" i="2"/>
  <c r="I34" i="2"/>
  <c r="AX34" i="2" s="1"/>
  <c r="R33" i="2"/>
  <c r="O33" i="2"/>
  <c r="P33" i="2"/>
  <c r="G35" i="2"/>
  <c r="I35" i="2"/>
  <c r="U35" i="2"/>
  <c r="J30" i="2"/>
  <c r="K30" i="2"/>
  <c r="L30" i="2"/>
  <c r="M30" i="2"/>
  <c r="N30" i="2"/>
  <c r="O30" i="2"/>
  <c r="P30" i="2"/>
  <c r="G30" i="2"/>
  <c r="H30" i="2"/>
  <c r="I30" i="2"/>
  <c r="Q30" i="2"/>
  <c r="F30" i="2"/>
  <c r="R30" i="2"/>
  <c r="S30" i="2"/>
  <c r="T30" i="2"/>
  <c r="U30" i="2"/>
  <c r="V30" i="2"/>
  <c r="S49" i="2"/>
  <c r="T49" i="2"/>
  <c r="G49" i="2"/>
  <c r="U49" i="2"/>
  <c r="H49" i="2"/>
  <c r="BK49" i="2"/>
  <c r="I49" i="2"/>
  <c r="J49" i="2"/>
  <c r="P49" i="2"/>
  <c r="Q49" i="2"/>
  <c r="R49" i="2"/>
  <c r="F49" i="2"/>
  <c r="K49" i="2"/>
  <c r="L49" i="2"/>
  <c r="M49" i="2"/>
  <c r="N49" i="2"/>
  <c r="O49" i="2"/>
  <c r="I29" i="2"/>
  <c r="H29" i="2"/>
  <c r="J29" i="2"/>
  <c r="K29" i="2"/>
  <c r="P29" i="2"/>
  <c r="L29" i="2"/>
  <c r="M29" i="2"/>
  <c r="N29" i="2"/>
  <c r="O29" i="2"/>
  <c r="S29" i="2"/>
  <c r="T29" i="2"/>
  <c r="U29" i="2"/>
  <c r="V29" i="2"/>
  <c r="F29" i="2"/>
  <c r="G29" i="2"/>
  <c r="R29" i="2"/>
  <c r="Q29" i="2"/>
  <c r="I47" i="2"/>
  <c r="J47" i="2"/>
  <c r="K47" i="2"/>
  <c r="L47" i="2"/>
  <c r="M47" i="2"/>
  <c r="N47" i="2"/>
  <c r="V47" i="2"/>
  <c r="F47" i="2"/>
  <c r="G47" i="2"/>
  <c r="H47" i="2"/>
  <c r="O47" i="2"/>
  <c r="P47" i="2"/>
  <c r="Q47" i="2"/>
  <c r="R47" i="2"/>
  <c r="S47" i="2"/>
  <c r="T47" i="2"/>
  <c r="U47" i="2"/>
  <c r="P45" i="2"/>
  <c r="I45" i="2"/>
  <c r="J45" i="2"/>
  <c r="K45" i="2"/>
  <c r="L45" i="2"/>
  <c r="M45" i="2"/>
  <c r="N45" i="2"/>
  <c r="O45" i="2"/>
  <c r="G45" i="2"/>
  <c r="H45" i="2"/>
  <c r="R45" i="2"/>
  <c r="S45" i="2"/>
  <c r="T45" i="2"/>
  <c r="U45" i="2"/>
  <c r="F45" i="2"/>
  <c r="V45" i="2"/>
  <c r="Q45" i="2"/>
  <c r="O46" i="2"/>
  <c r="I46" i="2"/>
  <c r="J46" i="2"/>
  <c r="K46" i="2"/>
  <c r="L46" i="2"/>
  <c r="M46" i="2"/>
  <c r="N46" i="2"/>
  <c r="P46" i="2"/>
  <c r="Q46" i="2"/>
  <c r="R46" i="2"/>
  <c r="T46" i="2"/>
  <c r="U46" i="2"/>
  <c r="BJ46" i="2" s="1"/>
  <c r="F46" i="2"/>
  <c r="V46" i="2"/>
  <c r="H46" i="2"/>
  <c r="G46" i="2"/>
  <c r="S46" i="2"/>
  <c r="G48" i="2"/>
  <c r="U48" i="2"/>
  <c r="H48" i="2"/>
  <c r="V48" i="2"/>
  <c r="I48" i="2"/>
  <c r="J48" i="2"/>
  <c r="K48" i="2"/>
  <c r="L48" i="2"/>
  <c r="M48" i="2"/>
  <c r="N48" i="2"/>
  <c r="O48" i="2"/>
  <c r="P48" i="2"/>
  <c r="Q48" i="2"/>
  <c r="F48" i="2"/>
  <c r="R48" i="2"/>
  <c r="S48" i="2"/>
  <c r="T48" i="2"/>
  <c r="G31" i="2"/>
  <c r="J31" i="2"/>
  <c r="L31" i="2"/>
  <c r="K31" i="2"/>
  <c r="M31" i="2"/>
  <c r="N31" i="2"/>
  <c r="O31" i="2"/>
  <c r="F31" i="2"/>
  <c r="P31" i="2"/>
  <c r="Q31" i="2"/>
  <c r="R31" i="2"/>
  <c r="S31" i="2"/>
  <c r="T31" i="2"/>
  <c r="U31" i="2"/>
  <c r="I31" i="2"/>
  <c r="V31" i="2"/>
  <c r="H31" i="2"/>
  <c r="K44" i="2"/>
  <c r="L44" i="2"/>
  <c r="M44" i="2"/>
  <c r="N44" i="2"/>
  <c r="O44" i="2"/>
  <c r="P44" i="2"/>
  <c r="F44" i="2"/>
  <c r="Q44" i="2"/>
  <c r="R44" i="2"/>
  <c r="S44" i="2"/>
  <c r="T44" i="2"/>
  <c r="U44" i="2"/>
  <c r="V44" i="2"/>
  <c r="G44" i="2"/>
  <c r="H44" i="2"/>
  <c r="I44" i="2"/>
  <c r="J44" i="2"/>
  <c r="AM35" i="2"/>
  <c r="AQ38" i="2"/>
  <c r="M9" i="2"/>
  <c r="F22" i="2"/>
  <c r="H22" i="2"/>
  <c r="G22" i="2"/>
  <c r="AN36" i="2"/>
  <c r="AB34" i="2"/>
  <c r="AK34" i="2"/>
  <c r="AU42" i="2"/>
  <c r="BI42" i="2"/>
  <c r="AV42" i="2"/>
  <c r="BJ42" i="2"/>
  <c r="AW42" i="2"/>
  <c r="BK42" i="2"/>
  <c r="AX42" i="2"/>
  <c r="AY42" i="2"/>
  <c r="BA42" i="2"/>
  <c r="BB42" i="2"/>
  <c r="BC42" i="2"/>
  <c r="BD42" i="2"/>
  <c r="BH42" i="2"/>
  <c r="BE42" i="2"/>
  <c r="BF42" i="2"/>
  <c r="BB40" i="2"/>
  <c r="BC40" i="2"/>
  <c r="BD40" i="2"/>
  <c r="BE40" i="2"/>
  <c r="BG40" i="2"/>
  <c r="BH40" i="2"/>
  <c r="AU40" i="2"/>
  <c r="BI40" i="2"/>
  <c r="AV40" i="2"/>
  <c r="AX40" i="2"/>
  <c r="BK40" i="2"/>
  <c r="AW40" i="2"/>
  <c r="AZ40" i="2"/>
  <c r="BF40" i="2"/>
  <c r="BJ40" i="2"/>
  <c r="BF43" i="2"/>
  <c r="BG43" i="2"/>
  <c r="BH43" i="2"/>
  <c r="AU43" i="2"/>
  <c r="BI43" i="2"/>
  <c r="AV43" i="2"/>
  <c r="BJ43" i="2"/>
  <c r="AX43" i="2"/>
  <c r="AY43" i="2"/>
  <c r="BA43" i="2"/>
  <c r="BB43" i="2"/>
  <c r="BC43" i="2"/>
  <c r="BD43" i="2"/>
  <c r="BE43" i="2"/>
  <c r="BK43" i="2"/>
  <c r="AW43" i="2"/>
  <c r="D20" i="2"/>
  <c r="F21" i="2"/>
  <c r="H8" i="2"/>
  <c r="I22" i="2"/>
  <c r="K21" i="2"/>
  <c r="H7" i="2"/>
  <c r="BE34" i="2"/>
  <c r="BF34" i="2"/>
  <c r="BG34" i="2"/>
  <c r="AU34" i="2"/>
  <c r="BH34" i="2"/>
  <c r="AY34" i="2"/>
  <c r="AZ34" i="2"/>
  <c r="BC34" i="2"/>
  <c r="AV34" i="2"/>
  <c r="BD34" i="2"/>
  <c r="BJ34" i="2"/>
  <c r="BA34" i="2"/>
  <c r="BB34" i="2"/>
  <c r="D21" i="2"/>
  <c r="BF35" i="2"/>
  <c r="BC35" i="2"/>
  <c r="BD35" i="2"/>
  <c r="BE35" i="2"/>
  <c r="BH35" i="2"/>
  <c r="AU35" i="2"/>
  <c r="BI35" i="2"/>
  <c r="AV35" i="2"/>
  <c r="BJ35" i="2"/>
  <c r="AW35" i="2"/>
  <c r="BK35" i="2"/>
  <c r="AZ35" i="2"/>
  <c r="BA35" i="2"/>
  <c r="BG35" i="2"/>
  <c r="G9" i="2"/>
  <c r="E21" i="2"/>
  <c r="AY36" i="2"/>
  <c r="AZ36" i="2"/>
  <c r="BC36" i="2"/>
  <c r="BE36" i="2"/>
  <c r="BF36" i="2"/>
  <c r="BG36" i="2"/>
  <c r="BH36" i="2"/>
  <c r="BJ36" i="2"/>
  <c r="BK36" i="2"/>
  <c r="AU36" i="2"/>
  <c r="AV36" i="2"/>
  <c r="AW36" i="2"/>
  <c r="AX36" i="2"/>
  <c r="BD36" i="2"/>
  <c r="BI36" i="2"/>
  <c r="BK32" i="2"/>
  <c r="AZ32" i="2"/>
  <c r="BA32" i="2"/>
  <c r="BC32" i="2"/>
  <c r="BD32" i="2"/>
  <c r="BE32" i="2"/>
  <c r="BF32" i="2"/>
  <c r="AV32" i="2"/>
  <c r="BH32" i="2"/>
  <c r="BJ32" i="2"/>
  <c r="BB32" i="2"/>
  <c r="BH33" i="2"/>
  <c r="AU33" i="2"/>
  <c r="BI33" i="2"/>
  <c r="AV33" i="2"/>
  <c r="BJ33" i="2"/>
  <c r="AW33" i="2"/>
  <c r="BK33" i="2"/>
  <c r="AX33" i="2"/>
  <c r="BG33" i="2"/>
  <c r="AY33" i="2"/>
  <c r="BF33" i="2"/>
  <c r="BD33" i="2"/>
  <c r="BE33" i="2"/>
  <c r="E7" i="2"/>
  <c r="AV37" i="2"/>
  <c r="BJ37" i="2"/>
  <c r="BK37" i="2"/>
  <c r="AZ37" i="2"/>
  <c r="BB37" i="2"/>
  <c r="BC37" i="2"/>
  <c r="BD37" i="2"/>
  <c r="BE37" i="2"/>
  <c r="BA37" i="2"/>
  <c r="BF37" i="2"/>
  <c r="BG37" i="2"/>
  <c r="AU37" i="2"/>
  <c r="BH37" i="2"/>
  <c r="H21" i="2"/>
  <c r="AX41" i="2"/>
  <c r="AY41" i="2"/>
  <c r="AZ41" i="2"/>
  <c r="BA41" i="2"/>
  <c r="BB41" i="2"/>
  <c r="BD41" i="2"/>
  <c r="BE41" i="2"/>
  <c r="BF41" i="2"/>
  <c r="AW41" i="2"/>
  <c r="BH41" i="2"/>
  <c r="BI41" i="2"/>
  <c r="BC41" i="2"/>
  <c r="BG41" i="2"/>
  <c r="AU41" i="2"/>
  <c r="AV41" i="2"/>
  <c r="BK41" i="2"/>
  <c r="L20" i="2"/>
  <c r="J22" i="2"/>
  <c r="BG38" i="2"/>
  <c r="BH38" i="2"/>
  <c r="AU38" i="2"/>
  <c r="BI38" i="2"/>
  <c r="AV38" i="2"/>
  <c r="BJ38" i="2"/>
  <c r="AW38" i="2"/>
  <c r="BK38" i="2"/>
  <c r="AY38" i="2"/>
  <c r="AZ38" i="2"/>
  <c r="BA38" i="2"/>
  <c r="BB38" i="2"/>
  <c r="BC38" i="2"/>
  <c r="BF38" i="2"/>
  <c r="AX38" i="2"/>
  <c r="K22" i="2"/>
  <c r="BD39" i="2"/>
  <c r="BE39" i="2"/>
  <c r="BF39" i="2"/>
  <c r="BG39" i="2"/>
  <c r="BH39" i="2"/>
  <c r="AV39" i="2"/>
  <c r="BJ39" i="2"/>
  <c r="AW39" i="2"/>
  <c r="BK39" i="2"/>
  <c r="AX39" i="2"/>
  <c r="AY39" i="2"/>
  <c r="BB39" i="2"/>
  <c r="BC39" i="2"/>
  <c r="BI39" i="2"/>
  <c r="AU39" i="2"/>
  <c r="G6" i="2"/>
  <c r="F8" i="2"/>
  <c r="E9" i="2"/>
  <c r="D9" i="2"/>
  <c r="K9" i="2"/>
  <c r="K23" i="2"/>
  <c r="H9" i="2"/>
  <c r="J20" i="2"/>
  <c r="F9" i="2"/>
  <c r="K8" i="2"/>
  <c r="J23" i="2"/>
  <c r="L23" i="2"/>
  <c r="I23" i="2"/>
  <c r="E23" i="2"/>
  <c r="F23" i="2"/>
  <c r="E6" i="2"/>
  <c r="H23" i="2"/>
  <c r="M23" i="2"/>
  <c r="E8" i="2"/>
  <c r="L8" i="2"/>
  <c r="G8" i="2"/>
  <c r="G23" i="2"/>
  <c r="L22" i="2"/>
  <c r="D23" i="2"/>
  <c r="D8" i="2"/>
  <c r="H6" i="2"/>
  <c r="M20" i="2"/>
  <c r="L7" i="2"/>
  <c r="J6" i="2"/>
  <c r="E20" i="2"/>
  <c r="D6" i="2"/>
  <c r="I8" i="2"/>
  <c r="G7" i="2"/>
  <c r="F19" i="2"/>
  <c r="L21" i="2"/>
  <c r="L6" i="2"/>
  <c r="D22" i="2"/>
  <c r="I7" i="2"/>
  <c r="E22" i="2"/>
  <c r="K20" i="2"/>
  <c r="I19" i="2"/>
  <c r="F20" i="2"/>
  <c r="J19" i="2"/>
  <c r="I9" i="2"/>
  <c r="F7" i="2"/>
  <c r="M21" i="2"/>
  <c r="K7" i="2"/>
  <c r="L19" i="2"/>
  <c r="K19" i="2"/>
  <c r="M8" i="2"/>
  <c r="G19" i="2"/>
  <c r="D19" i="2"/>
  <c r="H20" i="2"/>
  <c r="D7" i="2"/>
  <c r="K6" i="2"/>
  <c r="M19" i="2"/>
  <c r="M6" i="2"/>
  <c r="M22" i="2"/>
  <c r="M7" i="2"/>
  <c r="J7" i="2"/>
  <c r="E19" i="2"/>
  <c r="G20" i="2"/>
  <c r="J21" i="2"/>
  <c r="F6" i="2"/>
  <c r="I6" i="2"/>
  <c r="G21" i="2"/>
  <c r="I21" i="2"/>
  <c r="H19" i="2"/>
  <c r="L9" i="2"/>
  <c r="J8" i="2"/>
  <c r="J9" i="2"/>
  <c r="I20" i="2"/>
  <c r="AP46" i="2" l="1"/>
  <c r="CD46" i="2" s="1"/>
  <c r="AL40" i="2"/>
  <c r="BZ40" i="2" s="1"/>
  <c r="AO38" i="2"/>
  <c r="CC38" i="2" s="1"/>
  <c r="AA38" i="2"/>
  <c r="BO38" i="2" s="1"/>
  <c r="AK36" i="2"/>
  <c r="BY36" i="2" s="1"/>
  <c r="AL35" i="2"/>
  <c r="BZ35" i="2" s="1"/>
  <c r="AM41" i="2"/>
  <c r="CA41" i="2" s="1"/>
  <c r="AH40" i="2"/>
  <c r="BV40" i="2" s="1"/>
  <c r="AC40" i="2"/>
  <c r="BQ40" i="2" s="1"/>
  <c r="AM33" i="2"/>
  <c r="CA33" i="2" s="1"/>
  <c r="AD34" i="2"/>
  <c r="BR34" i="2" s="1"/>
  <c r="AM36" i="2"/>
  <c r="CA36" i="2" s="1"/>
  <c r="AE41" i="2"/>
  <c r="BS41" i="2" s="1"/>
  <c r="AD41" i="2"/>
  <c r="BR41" i="2" s="1"/>
  <c r="AQ40" i="2"/>
  <c r="CE40" i="2" s="1"/>
  <c r="AB36" i="2"/>
  <c r="AP33" i="2"/>
  <c r="CD33" i="2" s="1"/>
  <c r="AN38" i="2"/>
  <c r="CB38" i="2" s="1"/>
  <c r="AA36" i="2"/>
  <c r="BO36" i="2" s="1"/>
  <c r="AO33" i="2"/>
  <c r="CC33" i="2" s="1"/>
  <c r="AN33" i="2"/>
  <c r="CB33" i="2" s="1"/>
  <c r="AQ41" i="2"/>
  <c r="CE41" i="2" s="1"/>
  <c r="AJ37" i="2"/>
  <c r="BX37" i="2" s="1"/>
  <c r="AN43" i="2"/>
  <c r="CB43" i="2" s="1"/>
  <c r="AG42" i="2"/>
  <c r="BU42" i="2" s="1"/>
  <c r="AK32" i="2"/>
  <c r="BY32" i="2" s="1"/>
  <c r="AD42" i="2"/>
  <c r="BR42" i="2" s="1"/>
  <c r="AL39" i="2"/>
  <c r="BZ39" i="2" s="1"/>
  <c r="AI32" i="2"/>
  <c r="BW32" i="2" s="1"/>
  <c r="AC42" i="2"/>
  <c r="BQ42" i="2" s="1"/>
  <c r="AG32" i="2"/>
  <c r="AQ42" i="2"/>
  <c r="AY32" i="2"/>
  <c r="AE32" i="2"/>
  <c r="BV39" i="2"/>
  <c r="BB33" i="2"/>
  <c r="AH33" i="2"/>
  <c r="AX32" i="2"/>
  <c r="AD32" i="2"/>
  <c r="AY40" i="2"/>
  <c r="AE40" i="2"/>
  <c r="AZ42" i="2"/>
  <c r="AF42" i="2"/>
  <c r="BA33" i="2"/>
  <c r="AG33" i="2"/>
  <c r="BI32" i="2"/>
  <c r="AO32" i="2"/>
  <c r="BB36" i="2"/>
  <c r="AH36" i="2"/>
  <c r="AZ43" i="2"/>
  <c r="AF43" i="2"/>
  <c r="AG43" i="2"/>
  <c r="BU43" i="2" s="1"/>
  <c r="AW37" i="2"/>
  <c r="AC37" i="2"/>
  <c r="AZ33" i="2"/>
  <c r="AF33" i="2"/>
  <c r="BG32" i="2"/>
  <c r="AM32" i="2"/>
  <c r="AH39" i="2"/>
  <c r="AU32" i="2"/>
  <c r="AA32" i="2"/>
  <c r="AX35" i="2"/>
  <c r="AD35" i="2"/>
  <c r="AI39" i="2"/>
  <c r="BW39" i="2" s="1"/>
  <c r="BD38" i="2"/>
  <c r="AJ38" i="2"/>
  <c r="BA36" i="2"/>
  <c r="AG36" i="2"/>
  <c r="AY37" i="2"/>
  <c r="AE37" i="2"/>
  <c r="BC33" i="2"/>
  <c r="AI33" i="2"/>
  <c r="BB35" i="2"/>
  <c r="AH35" i="2"/>
  <c r="BK34" i="2"/>
  <c r="AQ34" i="2"/>
  <c r="BA40" i="2"/>
  <c r="AG40" i="2"/>
  <c r="BJ41" i="2"/>
  <c r="AP41" i="2"/>
  <c r="AX37" i="2"/>
  <c r="AD37" i="2"/>
  <c r="AY35" i="2"/>
  <c r="AE35" i="2"/>
  <c r="AW34" i="2"/>
  <c r="AC34" i="2"/>
  <c r="BA39" i="2"/>
  <c r="AG39" i="2"/>
  <c r="BE38" i="2"/>
  <c r="AK38" i="2"/>
  <c r="BI34" i="2"/>
  <c r="AO34" i="2"/>
  <c r="BG42" i="2"/>
  <c r="AM42" i="2"/>
  <c r="AZ39" i="2"/>
  <c r="AF39" i="2"/>
  <c r="BI37" i="2"/>
  <c r="AO37" i="2"/>
  <c r="AW32" i="2"/>
  <c r="AC32" i="2"/>
  <c r="AQ32" i="2"/>
  <c r="CE32" i="2" s="1"/>
  <c r="AN34" i="2"/>
  <c r="CB34" i="2" s="1"/>
  <c r="BP36" i="2"/>
  <c r="BP34" i="2"/>
  <c r="CE38" i="2"/>
  <c r="AI34" i="2"/>
  <c r="BW34" i="2" s="1"/>
  <c r="AI43" i="2"/>
  <c r="BW43" i="2" s="1"/>
  <c r="AG35" i="2"/>
  <c r="BU35" i="2" s="1"/>
  <c r="BU32" i="2"/>
  <c r="CB36" i="2"/>
  <c r="CA35" i="2"/>
  <c r="CE42" i="2"/>
  <c r="AQ36" i="2"/>
  <c r="CE36" i="2" s="1"/>
  <c r="AN40" i="2"/>
  <c r="CB40" i="2" s="1"/>
  <c r="AH38" i="2"/>
  <c r="BV38" i="2" s="1"/>
  <c r="AJ35" i="2"/>
  <c r="BX35" i="2" s="1"/>
  <c r="AA42" i="2"/>
  <c r="BO42" i="2" s="1"/>
  <c r="BY34" i="2"/>
  <c r="AM40" i="2"/>
  <c r="CA40" i="2" s="1"/>
  <c r="AL42" i="2"/>
  <c r="BZ42" i="2" s="1"/>
  <c r="AP36" i="2"/>
  <c r="CD36" i="2" s="1"/>
  <c r="AA40" i="2"/>
  <c r="BO40" i="2" s="1"/>
  <c r="AE43" i="2"/>
  <c r="BS43" i="2" s="1"/>
  <c r="AG38" i="2"/>
  <c r="BU38" i="2" s="1"/>
  <c r="AI35" i="2"/>
  <c r="BW35" i="2" s="1"/>
  <c r="BI45" i="2"/>
  <c r="AO45" i="2"/>
  <c r="BK48" i="2"/>
  <c r="AQ48" i="2"/>
  <c r="BI46" i="2"/>
  <c r="AO46" i="2"/>
  <c r="AX29" i="2"/>
  <c r="AD29" i="2"/>
  <c r="BH29" i="2"/>
  <c r="AN29" i="2"/>
  <c r="AU47" i="2"/>
  <c r="AA47" i="2"/>
  <c r="BG31" i="2"/>
  <c r="AM31" i="2"/>
  <c r="BE49" i="2"/>
  <c r="AK49" i="2"/>
  <c r="BG44" i="2"/>
  <c r="AM44" i="2"/>
  <c r="AW30" i="2"/>
  <c r="AC30" i="2"/>
  <c r="AJ34" i="2"/>
  <c r="BX34" i="2" s="1"/>
  <c r="AL36" i="2"/>
  <c r="BZ36" i="2" s="1"/>
  <c r="AL37" i="2"/>
  <c r="BZ37" i="2" s="1"/>
  <c r="AP39" i="2"/>
  <c r="CD39" i="2" s="1"/>
  <c r="AJ40" i="2"/>
  <c r="BX40" i="2" s="1"/>
  <c r="AK33" i="2"/>
  <c r="BY33" i="2" s="1"/>
  <c r="AO43" i="2"/>
  <c r="CC43" i="2" s="1"/>
  <c r="AP32" i="2"/>
  <c r="CD32" i="2" s="1"/>
  <c r="AF38" i="2"/>
  <c r="BT38" i="2" s="1"/>
  <c r="AK35" i="2"/>
  <c r="BY35" i="2" s="1"/>
  <c r="AF41" i="2"/>
  <c r="BT41" i="2" s="1"/>
  <c r="AL41" i="2"/>
  <c r="BZ41" i="2" s="1"/>
  <c r="BE45" i="2"/>
  <c r="AK45" i="2"/>
  <c r="BJ48" i="2"/>
  <c r="AP48" i="2"/>
  <c r="AU48" i="2"/>
  <c r="AA48" i="2"/>
  <c r="AU46" i="2"/>
  <c r="AA46" i="2"/>
  <c r="BD29" i="2"/>
  <c r="AJ29" i="2"/>
  <c r="BK29" i="2"/>
  <c r="AQ29" i="2"/>
  <c r="BH47" i="2"/>
  <c r="AN47" i="2"/>
  <c r="BF31" i="2"/>
  <c r="AL31" i="2"/>
  <c r="BD49" i="2"/>
  <c r="AJ49" i="2"/>
  <c r="BF44" i="2"/>
  <c r="AL44" i="2"/>
  <c r="BJ30" i="2"/>
  <c r="AP30" i="2"/>
  <c r="AH34" i="2"/>
  <c r="BV34" i="2" s="1"/>
  <c r="AC36" i="2"/>
  <c r="BQ36" i="2" s="1"/>
  <c r="AP37" i="2"/>
  <c r="CD37" i="2" s="1"/>
  <c r="AF37" i="2"/>
  <c r="BT37" i="2" s="1"/>
  <c r="AN39" i="2"/>
  <c r="CB39" i="2" s="1"/>
  <c r="AI40" i="2"/>
  <c r="BW40" i="2" s="1"/>
  <c r="AQ33" i="2"/>
  <c r="CE33" i="2" s="1"/>
  <c r="AL43" i="2"/>
  <c r="BZ43" i="2" s="1"/>
  <c r="AN32" i="2"/>
  <c r="CB32" i="2" s="1"/>
  <c r="AE38" i="2"/>
  <c r="BS38" i="2" s="1"/>
  <c r="AQ35" i="2"/>
  <c r="CE35" i="2" s="1"/>
  <c r="AN41" i="2"/>
  <c r="CB41" i="2" s="1"/>
  <c r="AO41" i="2"/>
  <c r="CC41" i="2" s="1"/>
  <c r="AB42" i="2"/>
  <c r="BP42" i="2" s="1"/>
  <c r="BD45" i="2"/>
  <c r="AJ45" i="2"/>
  <c r="BD48" i="2"/>
  <c r="AJ48" i="2"/>
  <c r="BA46" i="2"/>
  <c r="AG46" i="2"/>
  <c r="BB29" i="2"/>
  <c r="AH29" i="2"/>
  <c r="BC47" i="2"/>
  <c r="AI47" i="2"/>
  <c r="AY31" i="2"/>
  <c r="AE31" i="2"/>
  <c r="AZ31" i="2"/>
  <c r="AF31" i="2"/>
  <c r="AY49" i="2"/>
  <c r="AE49" i="2"/>
  <c r="AY44" i="2"/>
  <c r="AE44" i="2"/>
  <c r="BF30" i="2"/>
  <c r="AL30" i="2"/>
  <c r="BC45" i="2"/>
  <c r="AI45" i="2"/>
  <c r="AZ48" i="2"/>
  <c r="AF48" i="2"/>
  <c r="BB46" i="2"/>
  <c r="AH46" i="2"/>
  <c r="BA29" i="2"/>
  <c r="AG29" i="2"/>
  <c r="BA47" i="2"/>
  <c r="AG47" i="2"/>
  <c r="AX31" i="2"/>
  <c r="AD31" i="2"/>
  <c r="AW49" i="2"/>
  <c r="AC49" i="2"/>
  <c r="AX44" i="2"/>
  <c r="AD44" i="2"/>
  <c r="BH30" i="2"/>
  <c r="AN30" i="2"/>
  <c r="BE30" i="2"/>
  <c r="AK30" i="2"/>
  <c r="AM34" i="2"/>
  <c r="CA34" i="2" s="1"/>
  <c r="AN37" i="2"/>
  <c r="CB37" i="2" s="1"/>
  <c r="AV45" i="2"/>
  <c r="AB45" i="2"/>
  <c r="BB45" i="2"/>
  <c r="AH45" i="2"/>
  <c r="BC48" i="2"/>
  <c r="AI48" i="2"/>
  <c r="BG46" i="2"/>
  <c r="AM46" i="2"/>
  <c r="BD46" i="2"/>
  <c r="AJ46" i="2"/>
  <c r="AZ29" i="2"/>
  <c r="AF29" i="2"/>
  <c r="AZ47" i="2"/>
  <c r="AF47" i="2"/>
  <c r="AW31" i="2"/>
  <c r="AC31" i="2"/>
  <c r="AV49" i="2"/>
  <c r="AB49" i="2"/>
  <c r="BK44" i="2"/>
  <c r="AQ44" i="2"/>
  <c r="BA30" i="2"/>
  <c r="AG30" i="2"/>
  <c r="BD30" i="2"/>
  <c r="AJ30" i="2"/>
  <c r="AI36" i="2"/>
  <c r="BW36" i="2" s="1"/>
  <c r="AM37" i="2"/>
  <c r="CA37" i="2" s="1"/>
  <c r="AD40" i="2"/>
  <c r="BR40" i="2" s="1"/>
  <c r="AD43" i="2"/>
  <c r="BR43" i="2" s="1"/>
  <c r="AC41" i="2"/>
  <c r="BQ41" i="2" s="1"/>
  <c r="AU45" i="2"/>
  <c r="AA45" i="2"/>
  <c r="BA45" i="2"/>
  <c r="AG45" i="2"/>
  <c r="BB48" i="2"/>
  <c r="AH48" i="2"/>
  <c r="BH46" i="2"/>
  <c r="AN46" i="2"/>
  <c r="BC46" i="2"/>
  <c r="AI46" i="2"/>
  <c r="AY29" i="2"/>
  <c r="AE29" i="2"/>
  <c r="AY47" i="2"/>
  <c r="AE47" i="2"/>
  <c r="BK31" i="2"/>
  <c r="AQ31" i="2"/>
  <c r="AQ49" i="2"/>
  <c r="AW44" i="2"/>
  <c r="AC44" i="2"/>
  <c r="AY30" i="2"/>
  <c r="AE30" i="2"/>
  <c r="BC30" i="2"/>
  <c r="AI30" i="2"/>
  <c r="AD39" i="2"/>
  <c r="BR39" i="2" s="1"/>
  <c r="AY45" i="2"/>
  <c r="AE45" i="2"/>
  <c r="AZ45" i="2"/>
  <c r="AF45" i="2"/>
  <c r="BA48" i="2"/>
  <c r="AG48" i="2"/>
  <c r="AV46" i="2"/>
  <c r="AB46" i="2"/>
  <c r="AW29" i="2"/>
  <c r="AC29" i="2"/>
  <c r="BI47" i="2"/>
  <c r="AO47" i="2"/>
  <c r="AX47" i="2"/>
  <c r="AD47" i="2"/>
  <c r="AV31" i="2"/>
  <c r="AB31" i="2"/>
  <c r="AU49" i="2"/>
  <c r="AA49" i="2"/>
  <c r="BJ44" i="2"/>
  <c r="AP44" i="2"/>
  <c r="BB30" i="2"/>
  <c r="AH30" i="2"/>
  <c r="AP34" i="2"/>
  <c r="CD34" i="2" s="1"/>
  <c r="AA37" i="2"/>
  <c r="BO37" i="2" s="1"/>
  <c r="AC39" i="2"/>
  <c r="BQ39" i="2" s="1"/>
  <c r="AH32" i="2"/>
  <c r="BV32" i="2" s="1"/>
  <c r="AM38" i="2"/>
  <c r="CA38" i="2" s="1"/>
  <c r="AL38" i="2"/>
  <c r="BZ38" i="2" s="1"/>
  <c r="AJ41" i="2"/>
  <c r="BX41" i="2" s="1"/>
  <c r="AX45" i="2"/>
  <c r="AD45" i="2"/>
  <c r="AY48" i="2"/>
  <c r="AE48" i="2"/>
  <c r="AW46" i="2"/>
  <c r="AC46" i="2"/>
  <c r="BJ29" i="2"/>
  <c r="AP29" i="2"/>
  <c r="BF47" i="2"/>
  <c r="AL47" i="2"/>
  <c r="BK47" i="2"/>
  <c r="AQ47" i="2"/>
  <c r="BI31" i="2"/>
  <c r="AO31" i="2"/>
  <c r="BH49" i="2"/>
  <c r="AN49" i="2"/>
  <c r="BJ49" i="2"/>
  <c r="AP49" i="2"/>
  <c r="AV44" i="2"/>
  <c r="AB44" i="2"/>
  <c r="AZ30" i="2"/>
  <c r="AF30" i="2"/>
  <c r="AO36" i="2"/>
  <c r="CC36" i="2" s="1"/>
  <c r="AJ36" i="2"/>
  <c r="BX36" i="2" s="1"/>
  <c r="AG37" i="2"/>
  <c r="BU37" i="2" s="1"/>
  <c r="AA43" i="2"/>
  <c r="BO43" i="2" s="1"/>
  <c r="BK45" i="2"/>
  <c r="AQ45" i="2"/>
  <c r="AX48" i="2"/>
  <c r="AD48" i="2"/>
  <c r="AX46" i="2"/>
  <c r="AD46" i="2"/>
  <c r="AV29" i="2"/>
  <c r="AB29" i="2"/>
  <c r="BB47" i="2"/>
  <c r="AH47" i="2"/>
  <c r="AW47" i="2"/>
  <c r="AC47" i="2"/>
  <c r="AU31" i="2"/>
  <c r="AA31" i="2"/>
  <c r="AX49" i="2"/>
  <c r="AD49" i="2"/>
  <c r="BI49" i="2"/>
  <c r="AO49" i="2"/>
  <c r="BI44" i="2"/>
  <c r="AO44" i="2"/>
  <c r="AX30" i="2"/>
  <c r="AD30" i="2"/>
  <c r="AL34" i="2"/>
  <c r="BZ34" i="2" s="1"/>
  <c r="AB39" i="2"/>
  <c r="BP39" i="2" s="1"/>
  <c r="AK40" i="2"/>
  <c r="BY40" i="2" s="1"/>
  <c r="AD33" i="2"/>
  <c r="BR33" i="2" s="1"/>
  <c r="AA33" i="2"/>
  <c r="BO33" i="2" s="1"/>
  <c r="AC43" i="2"/>
  <c r="BQ43" i="2" s="1"/>
  <c r="AP35" i="2"/>
  <c r="CD35" i="2" s="1"/>
  <c r="AC35" i="2"/>
  <c r="BQ35" i="2" s="1"/>
  <c r="AK41" i="2"/>
  <c r="BY41" i="2" s="1"/>
  <c r="AI42" i="2"/>
  <c r="BW42" i="2" s="1"/>
  <c r="BJ45" i="2"/>
  <c r="AP45" i="2"/>
  <c r="AW48" i="2"/>
  <c r="AC48" i="2"/>
  <c r="AY46" i="2"/>
  <c r="AE46" i="2"/>
  <c r="BI29" i="2"/>
  <c r="AO29" i="2"/>
  <c r="AV47" i="2"/>
  <c r="AB47" i="2"/>
  <c r="BH31" i="2"/>
  <c r="AN31" i="2"/>
  <c r="BF49" i="2"/>
  <c r="AL49" i="2"/>
  <c r="BG49" i="2"/>
  <c r="AM49" i="2"/>
  <c r="AU44" i="2"/>
  <c r="AA44" i="2"/>
  <c r="BK30" i="2"/>
  <c r="AQ30" i="2"/>
  <c r="AK37" i="2"/>
  <c r="BY37" i="2" s="1"/>
  <c r="AQ39" i="2"/>
  <c r="CE39" i="2" s="1"/>
  <c r="AJ33" i="2"/>
  <c r="BX33" i="2" s="1"/>
  <c r="AP43" i="2"/>
  <c r="CD43" i="2" s="1"/>
  <c r="AB32" i="2"/>
  <c r="BP32" i="2" s="1"/>
  <c r="AI38" i="2"/>
  <c r="BW38" i="2" s="1"/>
  <c r="AO35" i="2"/>
  <c r="CC35" i="2" s="1"/>
  <c r="AA35" i="2"/>
  <c r="BO35" i="2" s="1"/>
  <c r="AB41" i="2"/>
  <c r="BP41" i="2" s="1"/>
  <c r="AE42" i="2"/>
  <c r="BS42" i="2" s="1"/>
  <c r="AW45" i="2"/>
  <c r="AC45" i="2"/>
  <c r="BH48" i="2"/>
  <c r="AN48" i="2"/>
  <c r="BI48" i="2"/>
  <c r="AO48" i="2"/>
  <c r="BE46" i="2"/>
  <c r="AK46" i="2"/>
  <c r="BC29" i="2"/>
  <c r="AI29" i="2"/>
  <c r="BG29" i="2"/>
  <c r="AM29" i="2"/>
  <c r="BG47" i="2"/>
  <c r="AM47" i="2"/>
  <c r="BD31" i="2"/>
  <c r="AJ31" i="2"/>
  <c r="BC49" i="2"/>
  <c r="AI49" i="2"/>
  <c r="BH44" i="2"/>
  <c r="AN44" i="2"/>
  <c r="BE44" i="2"/>
  <c r="AK44" i="2"/>
  <c r="AV30" i="2"/>
  <c r="AB30" i="2"/>
  <c r="AA34" i="2"/>
  <c r="BO34" i="2" s="1"/>
  <c r="AI37" i="2"/>
  <c r="BW37" i="2" s="1"/>
  <c r="AM39" i="2"/>
  <c r="CA39" i="2" s="1"/>
  <c r="AB40" i="2"/>
  <c r="BP40" i="2" s="1"/>
  <c r="AL33" i="2"/>
  <c r="BZ33" i="2" s="1"/>
  <c r="AB43" i="2"/>
  <c r="BP43" i="2" s="1"/>
  <c r="AH43" i="2"/>
  <c r="BV43" i="2" s="1"/>
  <c r="AD38" i="2"/>
  <c r="BR38" i="2" s="1"/>
  <c r="AA41" i="2"/>
  <c r="BO41" i="2" s="1"/>
  <c r="AP42" i="2"/>
  <c r="CD42" i="2" s="1"/>
  <c r="BH45" i="2"/>
  <c r="AN45" i="2"/>
  <c r="BG48" i="2"/>
  <c r="AM48" i="2"/>
  <c r="AV48" i="2"/>
  <c r="AB48" i="2"/>
  <c r="AZ46" i="2"/>
  <c r="AF46" i="2"/>
  <c r="AU29" i="2"/>
  <c r="AA29" i="2"/>
  <c r="BJ47" i="2"/>
  <c r="AP47" i="2"/>
  <c r="BC31" i="2"/>
  <c r="AI31" i="2"/>
  <c r="BB49" i="2"/>
  <c r="AH49" i="2"/>
  <c r="BB44" i="2"/>
  <c r="AH44" i="2"/>
  <c r="BD44" i="2"/>
  <c r="AJ44" i="2"/>
  <c r="BI30" i="2"/>
  <c r="AO30" i="2"/>
  <c r="AF34" i="2"/>
  <c r="BT34" i="2" s="1"/>
  <c r="AD36" i="2"/>
  <c r="BR36" i="2" s="1"/>
  <c r="AH37" i="2"/>
  <c r="BV37" i="2" s="1"/>
  <c r="AE39" i="2"/>
  <c r="BS39" i="2" s="1"/>
  <c r="AP40" i="2"/>
  <c r="CD40" i="2" s="1"/>
  <c r="AC33" i="2"/>
  <c r="BQ33" i="2" s="1"/>
  <c r="AQ43" i="2"/>
  <c r="CE43" i="2" s="1"/>
  <c r="AK43" i="2"/>
  <c r="BY43" i="2" s="1"/>
  <c r="AC38" i="2"/>
  <c r="BQ38" i="2" s="1"/>
  <c r="AN35" i="2"/>
  <c r="CB35" i="2" s="1"/>
  <c r="AI41" i="2"/>
  <c r="BW41" i="2" s="1"/>
  <c r="AK42" i="2"/>
  <c r="BY42" i="2" s="1"/>
  <c r="BG45" i="2"/>
  <c r="AM45" i="2"/>
  <c r="BF48" i="2"/>
  <c r="AL48" i="2"/>
  <c r="BK46" i="2"/>
  <c r="AQ46" i="2"/>
  <c r="BF29" i="2"/>
  <c r="AL29" i="2"/>
  <c r="BE47" i="2"/>
  <c r="AK47" i="2"/>
  <c r="BJ31" i="2"/>
  <c r="AP31" i="2"/>
  <c r="BB31" i="2"/>
  <c r="AH31" i="2"/>
  <c r="BA49" i="2"/>
  <c r="AG49" i="2"/>
  <c r="BA44" i="2"/>
  <c r="AG44" i="2"/>
  <c r="BC44" i="2"/>
  <c r="AI44" i="2"/>
  <c r="AU30" i="2"/>
  <c r="AA30" i="2"/>
  <c r="AG34" i="2"/>
  <c r="BU34" i="2" s="1"/>
  <c r="AE36" i="2"/>
  <c r="BS36" i="2" s="1"/>
  <c r="AB37" i="2"/>
  <c r="BP37" i="2" s="1"/>
  <c r="AO39" i="2"/>
  <c r="CC39" i="2" s="1"/>
  <c r="AK39" i="2"/>
  <c r="BY39" i="2" s="1"/>
  <c r="AF40" i="2"/>
  <c r="BT40" i="2" s="1"/>
  <c r="AE33" i="2"/>
  <c r="BS33" i="2" s="1"/>
  <c r="AJ43" i="2"/>
  <c r="BX43" i="2" s="1"/>
  <c r="AL32" i="2"/>
  <c r="BZ32" i="2" s="1"/>
  <c r="AB38" i="2"/>
  <c r="BP38" i="2" s="1"/>
  <c r="AB35" i="2"/>
  <c r="BP35" i="2" s="1"/>
  <c r="AH41" i="2"/>
  <c r="BV41" i="2" s="1"/>
  <c r="AJ42" i="2"/>
  <c r="BX42" i="2" s="1"/>
  <c r="AO42" i="2"/>
  <c r="CC42" i="2" s="1"/>
  <c r="BF45" i="2"/>
  <c r="AL45" i="2"/>
  <c r="BE48" i="2"/>
  <c r="AK48" i="2"/>
  <c r="BF46" i="2"/>
  <c r="AL46" i="2"/>
  <c r="BE29" i="2"/>
  <c r="AK29" i="2"/>
  <c r="BD47" i="2"/>
  <c r="AJ47" i="2"/>
  <c r="BE31" i="2"/>
  <c r="AK31" i="2"/>
  <c r="BA31" i="2"/>
  <c r="AG31" i="2"/>
  <c r="AZ49" i="2"/>
  <c r="AF49" i="2"/>
  <c r="AZ44" i="2"/>
  <c r="AF44" i="2"/>
  <c r="BG30" i="2"/>
  <c r="AM30" i="2"/>
  <c r="AE34" i="2"/>
  <c r="BS34" i="2" s="1"/>
  <c r="AF36" i="2"/>
  <c r="BT36" i="2" s="1"/>
  <c r="AQ37" i="2"/>
  <c r="CE37" i="2" s="1"/>
  <c r="AJ39" i="2"/>
  <c r="BX39" i="2" s="1"/>
  <c r="AA39" i="2"/>
  <c r="BO39" i="2" s="1"/>
  <c r="AO40" i="2"/>
  <c r="CC40" i="2" s="1"/>
  <c r="AB33" i="2"/>
  <c r="BP33" i="2" s="1"/>
  <c r="AM43" i="2"/>
  <c r="CA43" i="2" s="1"/>
  <c r="AF32" i="2"/>
  <c r="BT32" i="2" s="1"/>
  <c r="AJ32" i="2"/>
  <c r="BX32" i="2" s="1"/>
  <c r="AP38" i="2"/>
  <c r="CD38" i="2" s="1"/>
  <c r="AF35" i="2"/>
  <c r="BT35" i="2" s="1"/>
  <c r="AG41" i="2"/>
  <c r="BU41" i="2" s="1"/>
  <c r="AH42" i="2"/>
  <c r="BV42" i="2" s="1"/>
  <c r="AN42" i="2"/>
  <c r="CB42" i="2" s="1"/>
  <c r="BZ46" i="2" l="1"/>
  <c r="BP48" i="2"/>
  <c r="BR48" i="2"/>
  <c r="BR45" i="2"/>
  <c r="BU39" i="2"/>
  <c r="BT44" i="2"/>
  <c r="CA48" i="2"/>
  <c r="BW29" i="2"/>
  <c r="CB31" i="2"/>
  <c r="BR49" i="2"/>
  <c r="CC31" i="2"/>
  <c r="CC37" i="2"/>
  <c r="CA30" i="2"/>
  <c r="BV31" i="2"/>
  <c r="BX44" i="2"/>
  <c r="CA29" i="2"/>
  <c r="BZ49" i="2"/>
  <c r="CC49" i="2"/>
  <c r="CB49" i="2"/>
  <c r="BS47" i="2"/>
  <c r="BU40" i="2"/>
  <c r="BX38" i="2"/>
  <c r="BY48" i="2"/>
  <c r="CD31" i="2"/>
  <c r="BV44" i="2"/>
  <c r="BP30" i="2"/>
  <c r="CE45" i="2"/>
  <c r="BS29" i="2"/>
  <c r="BS32" i="2"/>
  <c r="CA32" i="2"/>
  <c r="BT33" i="2"/>
  <c r="BU36" i="2"/>
  <c r="BZ44" i="2"/>
  <c r="BY46" i="2"/>
  <c r="BV35" i="2"/>
  <c r="BW31" i="2"/>
  <c r="BR47" i="2"/>
  <c r="BT29" i="2"/>
  <c r="BV46" i="2"/>
  <c r="CB29" i="2"/>
  <c r="BT39" i="2"/>
  <c r="BZ45" i="2"/>
  <c r="BY47" i="2"/>
  <c r="BV49" i="2"/>
  <c r="BO31" i="2"/>
  <c r="CE47" i="2"/>
  <c r="BW30" i="2"/>
  <c r="BT42" i="2"/>
  <c r="CC47" i="2"/>
  <c r="BX30" i="2"/>
  <c r="BX46" i="2"/>
  <c r="BT48" i="2"/>
  <c r="CD48" i="2"/>
  <c r="CA42" i="2"/>
  <c r="BU31" i="2"/>
  <c r="BO30" i="2"/>
  <c r="CC48" i="2"/>
  <c r="BQ47" i="2"/>
  <c r="BS30" i="2"/>
  <c r="BS40" i="2"/>
  <c r="CA46" i="2"/>
  <c r="BW45" i="2"/>
  <c r="BV29" i="2"/>
  <c r="BY45" i="2"/>
  <c r="BQ30" i="2"/>
  <c r="CC46" i="2"/>
  <c r="BW44" i="2"/>
  <c r="CE46" i="2"/>
  <c r="CE30" i="2"/>
  <c r="CD29" i="2"/>
  <c r="CE49" i="2"/>
  <c r="BS37" i="2"/>
  <c r="BU48" i="2"/>
  <c r="BV45" i="2"/>
  <c r="BS44" i="2"/>
  <c r="BY49" i="2"/>
  <c r="BV36" i="2"/>
  <c r="BY29" i="2"/>
  <c r="BU49" i="2"/>
  <c r="CC30" i="2"/>
  <c r="CA47" i="2"/>
  <c r="CA49" i="2"/>
  <c r="CD45" i="2"/>
  <c r="CC44" i="2"/>
  <c r="CD49" i="2"/>
  <c r="CE31" i="2"/>
  <c r="BO45" i="2"/>
  <c r="BQ32" i="2"/>
  <c r="BY38" i="2"/>
  <c r="BO49" i="2"/>
  <c r="BT45" i="2"/>
  <c r="BQ31" i="2"/>
  <c r="BP45" i="2"/>
  <c r="BU47" i="2"/>
  <c r="BS49" i="2"/>
  <c r="BX45" i="2"/>
  <c r="BX29" i="2"/>
  <c r="CA31" i="2"/>
  <c r="CC32" i="2"/>
  <c r="BO48" i="2"/>
  <c r="CE34" i="2"/>
  <c r="BT49" i="2"/>
  <c r="CB45" i="2"/>
  <c r="BW47" i="2"/>
  <c r="BR35" i="2"/>
  <c r="BW49" i="2"/>
  <c r="BV47" i="2"/>
  <c r="BV48" i="2"/>
  <c r="CC34" i="2"/>
  <c r="BP46" i="2"/>
  <c r="BQ49" i="2"/>
  <c r="CA44" i="2"/>
  <c r="BT43" i="2"/>
  <c r="BX47" i="2"/>
  <c r="BU44" i="2"/>
  <c r="BX31" i="2"/>
  <c r="BQ48" i="2"/>
  <c r="BP44" i="2"/>
  <c r="BU45" i="2"/>
  <c r="BP49" i="2"/>
  <c r="CC45" i="2"/>
  <c r="BT46" i="2"/>
  <c r="BS48" i="2"/>
  <c r="BY30" i="2"/>
  <c r="BS31" i="2"/>
  <c r="BY44" i="2"/>
  <c r="BP47" i="2"/>
  <c r="BW46" i="2"/>
  <c r="BQ34" i="2"/>
  <c r="BQ37" i="2"/>
  <c r="CB30" i="2"/>
  <c r="BX49" i="2"/>
  <c r="BR29" i="2"/>
  <c r="BZ29" i="2"/>
  <c r="CB44" i="2"/>
  <c r="CC29" i="2"/>
  <c r="BZ47" i="2"/>
  <c r="CB46" i="2"/>
  <c r="BS35" i="2"/>
  <c r="BQ29" i="2"/>
  <c r="BU30" i="2"/>
  <c r="BR44" i="2"/>
  <c r="BZ31" i="2"/>
  <c r="BY31" i="2"/>
  <c r="CD47" i="2"/>
  <c r="CB48" i="2"/>
  <c r="BS46" i="2"/>
  <c r="BT30" i="2"/>
  <c r="BQ44" i="2"/>
  <c r="BW33" i="2"/>
  <c r="BO32" i="2"/>
  <c r="BR32" i="2"/>
  <c r="BV30" i="2"/>
  <c r="CE44" i="2"/>
  <c r="BW48" i="2"/>
  <c r="BZ30" i="2"/>
  <c r="BU46" i="2"/>
  <c r="CB47" i="2"/>
  <c r="CE48" i="2"/>
  <c r="BR37" i="2"/>
  <c r="BZ48" i="2"/>
  <c r="BO29" i="2"/>
  <c r="BQ45" i="2"/>
  <c r="BO44" i="2"/>
  <c r="BR30" i="2"/>
  <c r="BP29" i="2"/>
  <c r="BQ46" i="2"/>
  <c r="BV33" i="2"/>
  <c r="CD44" i="2"/>
  <c r="BR31" i="2"/>
  <c r="BX48" i="2"/>
  <c r="CE29" i="2"/>
  <c r="CD41" i="2"/>
  <c r="CA45" i="2"/>
  <c r="BR46" i="2"/>
  <c r="BP31" i="2"/>
  <c r="BS45" i="2"/>
  <c r="BT47" i="2"/>
  <c r="BU29" i="2"/>
  <c r="BT31" i="2"/>
  <c r="CD30" i="2"/>
  <c r="BO46" i="2"/>
  <c r="BO47" i="2"/>
  <c r="BU33" i="2"/>
</calcChain>
</file>

<file path=xl/sharedStrings.xml><?xml version="1.0" encoding="utf-8"?>
<sst xmlns="http://schemas.openxmlformats.org/spreadsheetml/2006/main" count="110" uniqueCount="50">
  <si>
    <t xml:space="preserve">battery </t>
  </si>
  <si>
    <t>charger</t>
  </si>
  <si>
    <t>SOC</t>
  </si>
  <si>
    <t xml:space="preserve">Expect </t>
  </si>
  <si>
    <t>Remaining</t>
  </si>
  <si>
    <t>SOC remain</t>
  </si>
  <si>
    <t>Time Remain</t>
  </si>
  <si>
    <t>User time</t>
  </si>
  <si>
    <t>EV</t>
  </si>
  <si>
    <t>Expected SOC</t>
  </si>
  <si>
    <t>(exp-soc)^2</t>
  </si>
  <si>
    <t>Time constatn</t>
  </si>
  <si>
    <t>Remain SOC</t>
  </si>
  <si>
    <t>Time weight</t>
  </si>
  <si>
    <t xml:space="preserve">Remain time </t>
  </si>
  <si>
    <t xml:space="preserve">Min time </t>
  </si>
  <si>
    <t>hh 16</t>
  </si>
  <si>
    <t>hh 15</t>
  </si>
  <si>
    <t>hh 14</t>
  </si>
  <si>
    <t>hh 13</t>
  </si>
  <si>
    <t>hh 12</t>
  </si>
  <si>
    <t>hh 11</t>
  </si>
  <si>
    <t>hh 10</t>
  </si>
  <si>
    <t>hh 9</t>
  </si>
  <si>
    <t>hh 8</t>
  </si>
  <si>
    <t>hh 7</t>
  </si>
  <si>
    <t>hh 6</t>
  </si>
  <si>
    <t>hh 5</t>
  </si>
  <si>
    <t>ESS capacity</t>
  </si>
  <si>
    <t>EV charger</t>
  </si>
  <si>
    <t>SOC 0</t>
  </si>
  <si>
    <t>SOC 10</t>
  </si>
  <si>
    <t>SOC 20</t>
  </si>
  <si>
    <t>SOC 30</t>
  </si>
  <si>
    <t>SOC 40</t>
  </si>
  <si>
    <t>SOC 50</t>
  </si>
  <si>
    <t>SOC 60</t>
  </si>
  <si>
    <t>SOC 70</t>
  </si>
  <si>
    <t>SOC 80</t>
  </si>
  <si>
    <t>SOC 90</t>
  </si>
  <si>
    <t>SOC 100</t>
  </si>
  <si>
    <t>Current SOC</t>
  </si>
  <si>
    <t>hh 4</t>
  </si>
  <si>
    <t>hh 3</t>
  </si>
  <si>
    <t>hh 2</t>
  </si>
  <si>
    <t>hh 1</t>
  </si>
  <si>
    <t>Cost</t>
  </si>
  <si>
    <t>Reward</t>
  </si>
  <si>
    <t>hh 0</t>
  </si>
  <si>
    <t xml:space="preserve">Cost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</si>
</sst>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Sheet1!$B$34:$M$34</c:f>
              <c:numCache>
                <c:formatCode>General</c:formatCode>
                <c:ptCount val="12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</c:numCache>
            </c:numRef>
          </c:xVal>
          <c:yVal>
            <c:numRef>
              <c:f>Sheet1!$B$36:$M$36</c:f>
              <c:numCache>
                <c:formatCode>General</c:formatCode>
                <c:ptCount val="12"/>
                <c:pt idx="0">
                  <c:v>1.9675925925925923E-2</c:v>
                </c:pt>
                <c:pt idx="1">
                  <c:v>7.407407407407407E-2</c:v>
                </c:pt>
                <c:pt idx="2">
                  <c:v>0.15625</c:v>
                </c:pt>
                <c:pt idx="3">
                  <c:v>0.25925925925925924</c:v>
                </c:pt>
                <c:pt idx="4">
                  <c:v>0.37615740740740744</c:v>
                </c:pt>
                <c:pt idx="5">
                  <c:v>0.5</c:v>
                </c:pt>
                <c:pt idx="6">
                  <c:v>0.62384259259259256</c:v>
                </c:pt>
                <c:pt idx="7">
                  <c:v>0.7407407407407407</c:v>
                </c:pt>
                <c:pt idx="8">
                  <c:v>0.84375</c:v>
                </c:pt>
                <c:pt idx="9">
                  <c:v>0.92592592592592582</c:v>
                </c:pt>
                <c:pt idx="10">
                  <c:v>0.98032407407407396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A7-4558-879B-646F6270D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506783"/>
        <c:axId val="1092224495"/>
      </c:scatterChart>
      <c:valAx>
        <c:axId val="808506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224495"/>
        <c:crosses val="autoZero"/>
        <c:crossBetween val="midCat"/>
      </c:valAx>
      <c:valAx>
        <c:axId val="109222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506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Sheet2!$D$4:$D$24</c:f>
              <c:numCache>
                <c:formatCode>General</c:formatCode>
                <c:ptCount val="21"/>
                <c:pt idx="0">
                  <c:v>0.1</c:v>
                </c:pt>
                <c:pt idx="1">
                  <c:v>9.5000000000000001E-2</c:v>
                </c:pt>
                <c:pt idx="2">
                  <c:v>9.0000000000000011E-2</c:v>
                </c:pt>
                <c:pt idx="3">
                  <c:v>8.5000000000000006E-2</c:v>
                </c:pt>
                <c:pt idx="4">
                  <c:v>8.0000000000000016E-2</c:v>
                </c:pt>
                <c:pt idx="5">
                  <c:v>7.5000000000000011E-2</c:v>
                </c:pt>
                <c:pt idx="6">
                  <c:v>6.9999999999999993E-2</c:v>
                </c:pt>
                <c:pt idx="7">
                  <c:v>6.5000000000000002E-2</c:v>
                </c:pt>
                <c:pt idx="8">
                  <c:v>0.06</c:v>
                </c:pt>
                <c:pt idx="9">
                  <c:v>5.5000000000000007E-2</c:v>
                </c:pt>
                <c:pt idx="10">
                  <c:v>0.05</c:v>
                </c:pt>
                <c:pt idx="11">
                  <c:v>4.4999999999999998E-2</c:v>
                </c:pt>
                <c:pt idx="12">
                  <c:v>4.0000000000000008E-2</c:v>
                </c:pt>
                <c:pt idx="13">
                  <c:v>3.4999999999999996E-2</c:v>
                </c:pt>
                <c:pt idx="14">
                  <c:v>3.0000000000000006E-2</c:v>
                </c:pt>
                <c:pt idx="15">
                  <c:v>2.5000000000000001E-2</c:v>
                </c:pt>
                <c:pt idx="16">
                  <c:v>1.9999999999999997E-2</c:v>
                </c:pt>
                <c:pt idx="17">
                  <c:v>1.5000000000000003E-2</c:v>
                </c:pt>
                <c:pt idx="18">
                  <c:v>9.9999999999999985E-3</c:v>
                </c:pt>
                <c:pt idx="19">
                  <c:v>5.0000000000000044E-3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49-4B61-8F49-8B9B985BBB9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Sheet2!$E$4:$E$24</c:f>
              <c:numCache>
                <c:formatCode>General</c:formatCode>
                <c:ptCount val="21"/>
                <c:pt idx="0">
                  <c:v>0.2</c:v>
                </c:pt>
                <c:pt idx="1">
                  <c:v>0.19</c:v>
                </c:pt>
                <c:pt idx="2">
                  <c:v>0.18000000000000002</c:v>
                </c:pt>
                <c:pt idx="3">
                  <c:v>0.17</c:v>
                </c:pt>
                <c:pt idx="4">
                  <c:v>0.16000000000000003</c:v>
                </c:pt>
                <c:pt idx="5">
                  <c:v>0.15000000000000002</c:v>
                </c:pt>
                <c:pt idx="6">
                  <c:v>0.13999999999999999</c:v>
                </c:pt>
                <c:pt idx="7">
                  <c:v>0.13</c:v>
                </c:pt>
                <c:pt idx="8">
                  <c:v>0.12</c:v>
                </c:pt>
                <c:pt idx="9">
                  <c:v>0.11000000000000001</c:v>
                </c:pt>
                <c:pt idx="10">
                  <c:v>0.1</c:v>
                </c:pt>
                <c:pt idx="11">
                  <c:v>0.09</c:v>
                </c:pt>
                <c:pt idx="12">
                  <c:v>8.0000000000000016E-2</c:v>
                </c:pt>
                <c:pt idx="13">
                  <c:v>6.9999999999999993E-2</c:v>
                </c:pt>
                <c:pt idx="14">
                  <c:v>6.0000000000000012E-2</c:v>
                </c:pt>
                <c:pt idx="15">
                  <c:v>0.05</c:v>
                </c:pt>
                <c:pt idx="16">
                  <c:v>3.9999999999999994E-2</c:v>
                </c:pt>
                <c:pt idx="17">
                  <c:v>3.0000000000000006E-2</c:v>
                </c:pt>
                <c:pt idx="18">
                  <c:v>1.9999999999999997E-2</c:v>
                </c:pt>
                <c:pt idx="19">
                  <c:v>1.0000000000000009E-2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49-4B61-8F49-8B9B985BBB9A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Sheet2!$F$4:$F$24</c:f>
              <c:numCache>
                <c:formatCode>General</c:formatCode>
                <c:ptCount val="21"/>
                <c:pt idx="0">
                  <c:v>0.3</c:v>
                </c:pt>
                <c:pt idx="1">
                  <c:v>0.28499999999999998</c:v>
                </c:pt>
                <c:pt idx="2">
                  <c:v>0.27</c:v>
                </c:pt>
                <c:pt idx="3">
                  <c:v>0.255</c:v>
                </c:pt>
                <c:pt idx="4">
                  <c:v>0.24</c:v>
                </c:pt>
                <c:pt idx="5">
                  <c:v>0.22499999999999998</c:v>
                </c:pt>
                <c:pt idx="6">
                  <c:v>0.21</c:v>
                </c:pt>
                <c:pt idx="7">
                  <c:v>0.19500000000000001</c:v>
                </c:pt>
                <c:pt idx="8">
                  <c:v>0.18</c:v>
                </c:pt>
                <c:pt idx="9">
                  <c:v>0.16500000000000001</c:v>
                </c:pt>
                <c:pt idx="10">
                  <c:v>0.15</c:v>
                </c:pt>
                <c:pt idx="11">
                  <c:v>0.13499999999999998</c:v>
                </c:pt>
                <c:pt idx="12">
                  <c:v>0.12</c:v>
                </c:pt>
                <c:pt idx="13">
                  <c:v>0.105</c:v>
                </c:pt>
                <c:pt idx="14">
                  <c:v>9.0000000000000011E-2</c:v>
                </c:pt>
                <c:pt idx="15">
                  <c:v>7.4999999999999997E-2</c:v>
                </c:pt>
                <c:pt idx="16">
                  <c:v>5.9999999999999984E-2</c:v>
                </c:pt>
                <c:pt idx="17">
                  <c:v>4.5000000000000005E-2</c:v>
                </c:pt>
                <c:pt idx="18">
                  <c:v>2.9999999999999992E-2</c:v>
                </c:pt>
                <c:pt idx="19">
                  <c:v>1.5000000000000013E-2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49-4B61-8F49-8B9B985BBB9A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Sheet2!$G$4:$G$24</c:f>
              <c:numCache>
                <c:formatCode>General</c:formatCode>
                <c:ptCount val="21"/>
                <c:pt idx="0">
                  <c:v>0.4</c:v>
                </c:pt>
                <c:pt idx="1">
                  <c:v>0.38</c:v>
                </c:pt>
                <c:pt idx="2">
                  <c:v>0.36000000000000004</c:v>
                </c:pt>
                <c:pt idx="3">
                  <c:v>0.34</c:v>
                </c:pt>
                <c:pt idx="4">
                  <c:v>0.32000000000000006</c:v>
                </c:pt>
                <c:pt idx="5">
                  <c:v>0.30000000000000004</c:v>
                </c:pt>
                <c:pt idx="6">
                  <c:v>0.27999999999999997</c:v>
                </c:pt>
                <c:pt idx="7">
                  <c:v>0.26</c:v>
                </c:pt>
                <c:pt idx="8">
                  <c:v>0.24</c:v>
                </c:pt>
                <c:pt idx="9">
                  <c:v>0.22000000000000003</c:v>
                </c:pt>
                <c:pt idx="10">
                  <c:v>0.2</c:v>
                </c:pt>
                <c:pt idx="11">
                  <c:v>0.18</c:v>
                </c:pt>
                <c:pt idx="12">
                  <c:v>0.16000000000000003</c:v>
                </c:pt>
                <c:pt idx="13">
                  <c:v>0.13999999999999999</c:v>
                </c:pt>
                <c:pt idx="14">
                  <c:v>0.12000000000000002</c:v>
                </c:pt>
                <c:pt idx="15">
                  <c:v>0.1</c:v>
                </c:pt>
                <c:pt idx="16">
                  <c:v>7.9999999999999988E-2</c:v>
                </c:pt>
                <c:pt idx="17">
                  <c:v>6.0000000000000012E-2</c:v>
                </c:pt>
                <c:pt idx="18">
                  <c:v>3.9999999999999994E-2</c:v>
                </c:pt>
                <c:pt idx="19">
                  <c:v>2.0000000000000018E-2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49-4B61-8F49-8B9B985BBB9A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Sheet2!$H$4:$H$24</c:f>
              <c:numCache>
                <c:formatCode>General</c:formatCode>
                <c:ptCount val="21"/>
                <c:pt idx="0">
                  <c:v>0.5</c:v>
                </c:pt>
                <c:pt idx="1">
                  <c:v>0.47499999999999998</c:v>
                </c:pt>
                <c:pt idx="2">
                  <c:v>0.45</c:v>
                </c:pt>
                <c:pt idx="3">
                  <c:v>0.42499999999999999</c:v>
                </c:pt>
                <c:pt idx="4">
                  <c:v>0.4</c:v>
                </c:pt>
                <c:pt idx="5">
                  <c:v>0.375</c:v>
                </c:pt>
                <c:pt idx="6">
                  <c:v>0.35</c:v>
                </c:pt>
                <c:pt idx="7">
                  <c:v>0.32500000000000001</c:v>
                </c:pt>
                <c:pt idx="8">
                  <c:v>0.3</c:v>
                </c:pt>
                <c:pt idx="9">
                  <c:v>0.27500000000000002</c:v>
                </c:pt>
                <c:pt idx="10">
                  <c:v>0.25</c:v>
                </c:pt>
                <c:pt idx="11">
                  <c:v>0.22499999999999998</c:v>
                </c:pt>
                <c:pt idx="12">
                  <c:v>0.2</c:v>
                </c:pt>
                <c:pt idx="13">
                  <c:v>0.17499999999999999</c:v>
                </c:pt>
                <c:pt idx="14">
                  <c:v>0.15000000000000002</c:v>
                </c:pt>
                <c:pt idx="15">
                  <c:v>0.125</c:v>
                </c:pt>
                <c:pt idx="16">
                  <c:v>9.9999999999999978E-2</c:v>
                </c:pt>
                <c:pt idx="17">
                  <c:v>7.5000000000000011E-2</c:v>
                </c:pt>
                <c:pt idx="18">
                  <c:v>4.9999999999999989E-2</c:v>
                </c:pt>
                <c:pt idx="19">
                  <c:v>2.5000000000000022E-2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B49-4B61-8F49-8B9B985BBB9A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Sheet2!$I$4:$I$24</c:f>
              <c:numCache>
                <c:formatCode>General</c:formatCode>
                <c:ptCount val="21"/>
                <c:pt idx="0">
                  <c:v>0.6</c:v>
                </c:pt>
                <c:pt idx="1">
                  <c:v>0.56999999999999995</c:v>
                </c:pt>
                <c:pt idx="2">
                  <c:v>0.54</c:v>
                </c:pt>
                <c:pt idx="3">
                  <c:v>0.51</c:v>
                </c:pt>
                <c:pt idx="4">
                  <c:v>0.48</c:v>
                </c:pt>
                <c:pt idx="5">
                  <c:v>0.44999999999999996</c:v>
                </c:pt>
                <c:pt idx="6">
                  <c:v>0.42</c:v>
                </c:pt>
                <c:pt idx="7">
                  <c:v>0.39</c:v>
                </c:pt>
                <c:pt idx="8">
                  <c:v>0.36</c:v>
                </c:pt>
                <c:pt idx="9">
                  <c:v>0.33</c:v>
                </c:pt>
                <c:pt idx="10">
                  <c:v>0.3</c:v>
                </c:pt>
                <c:pt idx="11">
                  <c:v>0.26999999999999996</c:v>
                </c:pt>
                <c:pt idx="12">
                  <c:v>0.24</c:v>
                </c:pt>
                <c:pt idx="13">
                  <c:v>0.21</c:v>
                </c:pt>
                <c:pt idx="14">
                  <c:v>0.18000000000000002</c:v>
                </c:pt>
                <c:pt idx="15">
                  <c:v>0.15</c:v>
                </c:pt>
                <c:pt idx="16">
                  <c:v>0.11999999999999997</c:v>
                </c:pt>
                <c:pt idx="17">
                  <c:v>9.0000000000000011E-2</c:v>
                </c:pt>
                <c:pt idx="18">
                  <c:v>5.9999999999999984E-2</c:v>
                </c:pt>
                <c:pt idx="19">
                  <c:v>3.0000000000000027E-2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B49-4B61-8F49-8B9B985BBB9A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Sheet2!$J$4:$J$24</c:f>
              <c:numCache>
                <c:formatCode>General</c:formatCode>
                <c:ptCount val="21"/>
                <c:pt idx="0">
                  <c:v>0.7</c:v>
                </c:pt>
                <c:pt idx="1">
                  <c:v>0.66499999999999992</c:v>
                </c:pt>
                <c:pt idx="2">
                  <c:v>0.63</c:v>
                </c:pt>
                <c:pt idx="3">
                  <c:v>0.59499999999999997</c:v>
                </c:pt>
                <c:pt idx="4">
                  <c:v>0.55999999999999994</c:v>
                </c:pt>
                <c:pt idx="5">
                  <c:v>0.52499999999999991</c:v>
                </c:pt>
                <c:pt idx="6">
                  <c:v>0.48999999999999994</c:v>
                </c:pt>
                <c:pt idx="7">
                  <c:v>0.45499999999999996</c:v>
                </c:pt>
                <c:pt idx="8">
                  <c:v>0.42</c:v>
                </c:pt>
                <c:pt idx="9">
                  <c:v>0.38500000000000001</c:v>
                </c:pt>
                <c:pt idx="10">
                  <c:v>0.35</c:v>
                </c:pt>
                <c:pt idx="11">
                  <c:v>0.31499999999999995</c:v>
                </c:pt>
                <c:pt idx="12">
                  <c:v>0.27999999999999997</c:v>
                </c:pt>
                <c:pt idx="13">
                  <c:v>0.24499999999999997</c:v>
                </c:pt>
                <c:pt idx="14">
                  <c:v>0.21000000000000002</c:v>
                </c:pt>
                <c:pt idx="15">
                  <c:v>0.17499999999999999</c:v>
                </c:pt>
                <c:pt idx="16">
                  <c:v>0.13999999999999996</c:v>
                </c:pt>
                <c:pt idx="17">
                  <c:v>0.10500000000000001</c:v>
                </c:pt>
                <c:pt idx="18">
                  <c:v>6.9999999999999979E-2</c:v>
                </c:pt>
                <c:pt idx="19">
                  <c:v>3.5000000000000031E-2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B49-4B61-8F49-8B9B985BBB9A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Sheet2!$K$4:$K$24</c:f>
              <c:numCache>
                <c:formatCode>General</c:formatCode>
                <c:ptCount val="21"/>
                <c:pt idx="0">
                  <c:v>0.8</c:v>
                </c:pt>
                <c:pt idx="1">
                  <c:v>0.76</c:v>
                </c:pt>
                <c:pt idx="2">
                  <c:v>0.72000000000000008</c:v>
                </c:pt>
                <c:pt idx="3">
                  <c:v>0.68</c:v>
                </c:pt>
                <c:pt idx="4">
                  <c:v>0.64000000000000012</c:v>
                </c:pt>
                <c:pt idx="5">
                  <c:v>0.60000000000000009</c:v>
                </c:pt>
                <c:pt idx="6">
                  <c:v>0.55999999999999994</c:v>
                </c:pt>
                <c:pt idx="7">
                  <c:v>0.52</c:v>
                </c:pt>
                <c:pt idx="8">
                  <c:v>0.48</c:v>
                </c:pt>
                <c:pt idx="9">
                  <c:v>0.44000000000000006</c:v>
                </c:pt>
                <c:pt idx="10">
                  <c:v>0.4</c:v>
                </c:pt>
                <c:pt idx="11">
                  <c:v>0.36</c:v>
                </c:pt>
                <c:pt idx="12">
                  <c:v>0.32000000000000006</c:v>
                </c:pt>
                <c:pt idx="13">
                  <c:v>0.27999999999999997</c:v>
                </c:pt>
                <c:pt idx="14">
                  <c:v>0.24000000000000005</c:v>
                </c:pt>
                <c:pt idx="15">
                  <c:v>0.2</c:v>
                </c:pt>
                <c:pt idx="16">
                  <c:v>0.15999999999999998</c:v>
                </c:pt>
                <c:pt idx="17">
                  <c:v>0.12000000000000002</c:v>
                </c:pt>
                <c:pt idx="18">
                  <c:v>7.9999999999999988E-2</c:v>
                </c:pt>
                <c:pt idx="19">
                  <c:v>4.0000000000000036E-2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B49-4B61-8F49-8B9B985BBB9A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Sheet2!$L$4:$L$24</c:f>
              <c:numCache>
                <c:formatCode>General</c:formatCode>
                <c:ptCount val="21"/>
                <c:pt idx="0">
                  <c:v>0.9</c:v>
                </c:pt>
                <c:pt idx="1">
                  <c:v>0.85499999999999998</c:v>
                </c:pt>
                <c:pt idx="2">
                  <c:v>0.81</c:v>
                </c:pt>
                <c:pt idx="3">
                  <c:v>0.76500000000000001</c:v>
                </c:pt>
                <c:pt idx="4">
                  <c:v>0.72000000000000008</c:v>
                </c:pt>
                <c:pt idx="5">
                  <c:v>0.67500000000000004</c:v>
                </c:pt>
                <c:pt idx="6">
                  <c:v>0.63</c:v>
                </c:pt>
                <c:pt idx="7">
                  <c:v>0.58500000000000008</c:v>
                </c:pt>
                <c:pt idx="8">
                  <c:v>0.54</c:v>
                </c:pt>
                <c:pt idx="9">
                  <c:v>0.49500000000000005</c:v>
                </c:pt>
                <c:pt idx="10">
                  <c:v>0.45</c:v>
                </c:pt>
                <c:pt idx="11">
                  <c:v>0.40499999999999997</c:v>
                </c:pt>
                <c:pt idx="12">
                  <c:v>0.36000000000000004</c:v>
                </c:pt>
                <c:pt idx="13">
                  <c:v>0.315</c:v>
                </c:pt>
                <c:pt idx="14">
                  <c:v>0.27000000000000007</c:v>
                </c:pt>
                <c:pt idx="15">
                  <c:v>0.22500000000000001</c:v>
                </c:pt>
                <c:pt idx="16">
                  <c:v>0.17999999999999997</c:v>
                </c:pt>
                <c:pt idx="17">
                  <c:v>0.13500000000000004</c:v>
                </c:pt>
                <c:pt idx="18">
                  <c:v>8.9999999999999983E-2</c:v>
                </c:pt>
                <c:pt idx="19">
                  <c:v>4.500000000000004E-2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B49-4B61-8F49-8B9B985BBB9A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Sheet2!$M$4:$M$24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0.9</c:v>
                </c:pt>
                <c:pt idx="3">
                  <c:v>0.85</c:v>
                </c:pt>
                <c:pt idx="4">
                  <c:v>0.8</c:v>
                </c:pt>
                <c:pt idx="5">
                  <c:v>0.75</c:v>
                </c:pt>
                <c:pt idx="6">
                  <c:v>0.7</c:v>
                </c:pt>
                <c:pt idx="7">
                  <c:v>0.65</c:v>
                </c:pt>
                <c:pt idx="8">
                  <c:v>0.6</c:v>
                </c:pt>
                <c:pt idx="9">
                  <c:v>0.55000000000000004</c:v>
                </c:pt>
                <c:pt idx="10">
                  <c:v>0.5</c:v>
                </c:pt>
                <c:pt idx="11">
                  <c:v>0.44999999999999996</c:v>
                </c:pt>
                <c:pt idx="12">
                  <c:v>0.4</c:v>
                </c:pt>
                <c:pt idx="13">
                  <c:v>0.35</c:v>
                </c:pt>
                <c:pt idx="14">
                  <c:v>0.30000000000000004</c:v>
                </c:pt>
                <c:pt idx="15">
                  <c:v>0.25</c:v>
                </c:pt>
                <c:pt idx="16">
                  <c:v>0.19999999999999996</c:v>
                </c:pt>
                <c:pt idx="17">
                  <c:v>0.15000000000000002</c:v>
                </c:pt>
                <c:pt idx="18">
                  <c:v>9.9999999999999978E-2</c:v>
                </c:pt>
                <c:pt idx="19">
                  <c:v>5.0000000000000044E-2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B49-4B61-8F49-8B9B985BB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7158592"/>
        <c:axId val="707155712"/>
      </c:lineChart>
      <c:catAx>
        <c:axId val="707158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155712"/>
        <c:crosses val="autoZero"/>
        <c:auto val="1"/>
        <c:lblAlgn val="ctr"/>
        <c:lblOffset val="100"/>
        <c:noMultiLvlLbl val="0"/>
      </c:catAx>
      <c:valAx>
        <c:axId val="70715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15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Weight change w.r.t Instant SoC and Remain Hour to disconnect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Sheet2!$F$28</c:f>
              <c:strCache>
                <c:ptCount val="1"/>
                <c:pt idx="0">
                  <c:v>hh 16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Sheet2!$E$29:$E$49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Sheet2!$F$29:$F$49</c:f>
              <c:numCache>
                <c:formatCode>General</c:formatCode>
                <c:ptCount val="21"/>
                <c:pt idx="0">
                  <c:v>0.26785714285714285</c:v>
                </c:pt>
                <c:pt idx="1">
                  <c:v>0.2544642857142857</c:v>
                </c:pt>
                <c:pt idx="2">
                  <c:v>0.24107142857142858</c:v>
                </c:pt>
                <c:pt idx="3">
                  <c:v>0.22767857142857142</c:v>
                </c:pt>
                <c:pt idx="4">
                  <c:v>0.2142857142857143</c:v>
                </c:pt>
                <c:pt idx="5">
                  <c:v>0.20089285714285715</c:v>
                </c:pt>
                <c:pt idx="6">
                  <c:v>0.18749999999999997</c:v>
                </c:pt>
                <c:pt idx="7">
                  <c:v>0.17410714285714285</c:v>
                </c:pt>
                <c:pt idx="8">
                  <c:v>0.1607142857142857</c:v>
                </c:pt>
                <c:pt idx="9">
                  <c:v>0.14732142857142858</c:v>
                </c:pt>
                <c:pt idx="10">
                  <c:v>0.13392857142857142</c:v>
                </c:pt>
                <c:pt idx="11">
                  <c:v>0.12053571428571427</c:v>
                </c:pt>
                <c:pt idx="12">
                  <c:v>0.10714285714285715</c:v>
                </c:pt>
                <c:pt idx="13">
                  <c:v>9.3749999999999986E-2</c:v>
                </c:pt>
                <c:pt idx="14">
                  <c:v>8.0357142857142863E-2</c:v>
                </c:pt>
                <c:pt idx="15">
                  <c:v>6.6964285714285712E-2</c:v>
                </c:pt>
                <c:pt idx="16">
                  <c:v>5.3571428571428555E-2</c:v>
                </c:pt>
                <c:pt idx="17">
                  <c:v>4.0178571428571432E-2</c:v>
                </c:pt>
                <c:pt idx="18">
                  <c:v>2.6785714285714277E-2</c:v>
                </c:pt>
                <c:pt idx="19">
                  <c:v>1.3392857142857154E-2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DD-4DCA-BDC3-4C896C98F1E6}"/>
            </c:ext>
          </c:extLst>
        </c:ser>
        <c:ser>
          <c:idx val="1"/>
          <c:order val="1"/>
          <c:tx>
            <c:strRef>
              <c:f>Sheet2!$G$28</c:f>
              <c:strCache>
                <c:ptCount val="1"/>
                <c:pt idx="0">
                  <c:v>hh 15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Sheet2!$E$29:$E$49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Sheet2!$G$29:$G$49</c:f>
              <c:numCache>
                <c:formatCode>General</c:formatCode>
                <c:ptCount val="21"/>
                <c:pt idx="0">
                  <c:v>0.2857142857142857</c:v>
                </c:pt>
                <c:pt idx="1">
                  <c:v>0.27142857142857141</c:v>
                </c:pt>
                <c:pt idx="2">
                  <c:v>0.25714285714285717</c:v>
                </c:pt>
                <c:pt idx="3">
                  <c:v>0.24285714285714285</c:v>
                </c:pt>
                <c:pt idx="4">
                  <c:v>0.22857142857142859</c:v>
                </c:pt>
                <c:pt idx="5">
                  <c:v>0.2142857142857143</c:v>
                </c:pt>
                <c:pt idx="6">
                  <c:v>0.19999999999999998</c:v>
                </c:pt>
                <c:pt idx="7">
                  <c:v>0.18571428571428569</c:v>
                </c:pt>
                <c:pt idx="8">
                  <c:v>0.1714285714285714</c:v>
                </c:pt>
                <c:pt idx="9">
                  <c:v>0.15714285714285714</c:v>
                </c:pt>
                <c:pt idx="10">
                  <c:v>0.14285714285714285</c:v>
                </c:pt>
                <c:pt idx="11">
                  <c:v>0.12857142857142856</c:v>
                </c:pt>
                <c:pt idx="12">
                  <c:v>0.1142857142857143</c:v>
                </c:pt>
                <c:pt idx="13">
                  <c:v>9.9999999999999992E-2</c:v>
                </c:pt>
                <c:pt idx="14">
                  <c:v>8.5714285714285715E-2</c:v>
                </c:pt>
                <c:pt idx="15">
                  <c:v>7.1428571428571425E-2</c:v>
                </c:pt>
                <c:pt idx="16">
                  <c:v>5.7142857142857127E-2</c:v>
                </c:pt>
                <c:pt idx="17">
                  <c:v>4.2857142857142858E-2</c:v>
                </c:pt>
                <c:pt idx="18">
                  <c:v>2.8571428571428564E-2</c:v>
                </c:pt>
                <c:pt idx="19">
                  <c:v>1.4285714285714297E-2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DD-4DCA-BDC3-4C896C98F1E6}"/>
            </c:ext>
          </c:extLst>
        </c:ser>
        <c:ser>
          <c:idx val="2"/>
          <c:order val="2"/>
          <c:tx>
            <c:strRef>
              <c:f>Sheet2!$H$28</c:f>
              <c:strCache>
                <c:ptCount val="1"/>
                <c:pt idx="0">
                  <c:v>hh 14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Sheet2!$E$29:$E$49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Sheet2!$H$29:$H$49</c:f>
              <c:numCache>
                <c:formatCode>General</c:formatCode>
                <c:ptCount val="21"/>
                <c:pt idx="0">
                  <c:v>0.30612244897959184</c:v>
                </c:pt>
                <c:pt idx="1">
                  <c:v>0.29081632653061223</c:v>
                </c:pt>
                <c:pt idx="2">
                  <c:v>0.27551020408163268</c:v>
                </c:pt>
                <c:pt idx="3">
                  <c:v>0.26020408163265307</c:v>
                </c:pt>
                <c:pt idx="4">
                  <c:v>0.24489795918367349</c:v>
                </c:pt>
                <c:pt idx="5">
                  <c:v>0.22959183673469388</c:v>
                </c:pt>
                <c:pt idx="6">
                  <c:v>0.21428571428571425</c:v>
                </c:pt>
                <c:pt idx="7">
                  <c:v>0.19897959183673469</c:v>
                </c:pt>
                <c:pt idx="8">
                  <c:v>0.18367346938775508</c:v>
                </c:pt>
                <c:pt idx="9">
                  <c:v>0.1683673469387755</c:v>
                </c:pt>
                <c:pt idx="10">
                  <c:v>0.15306122448979592</c:v>
                </c:pt>
                <c:pt idx="11">
                  <c:v>0.13775510204081631</c:v>
                </c:pt>
                <c:pt idx="12">
                  <c:v>0.12244897959183675</c:v>
                </c:pt>
                <c:pt idx="13">
                  <c:v>0.10714285714285712</c:v>
                </c:pt>
                <c:pt idx="14">
                  <c:v>9.1836734693877556E-2</c:v>
                </c:pt>
                <c:pt idx="15">
                  <c:v>7.6530612244897961E-2</c:v>
                </c:pt>
                <c:pt idx="16">
                  <c:v>6.1224489795918345E-2</c:v>
                </c:pt>
                <c:pt idx="17">
                  <c:v>4.5918367346938778E-2</c:v>
                </c:pt>
                <c:pt idx="18">
                  <c:v>3.0612244897959173E-2</c:v>
                </c:pt>
                <c:pt idx="19">
                  <c:v>1.5306122448979605E-2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DD-4DCA-BDC3-4C896C98F1E6}"/>
            </c:ext>
          </c:extLst>
        </c:ser>
        <c:ser>
          <c:idx val="3"/>
          <c:order val="3"/>
          <c:tx>
            <c:strRef>
              <c:f>Sheet2!$I$28</c:f>
              <c:strCache>
                <c:ptCount val="1"/>
                <c:pt idx="0">
                  <c:v>hh 13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Sheet2!$E$29:$E$49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Sheet2!$I$29:$I$49</c:f>
              <c:numCache>
                <c:formatCode>General</c:formatCode>
                <c:ptCount val="21"/>
                <c:pt idx="0">
                  <c:v>0.32967032967032966</c:v>
                </c:pt>
                <c:pt idx="1">
                  <c:v>0.31318681318681318</c:v>
                </c:pt>
                <c:pt idx="2">
                  <c:v>0.2967032967032967</c:v>
                </c:pt>
                <c:pt idx="3">
                  <c:v>0.28021978021978022</c:v>
                </c:pt>
                <c:pt idx="4">
                  <c:v>0.26373626373626374</c:v>
                </c:pt>
                <c:pt idx="5">
                  <c:v>0.24725274725274726</c:v>
                </c:pt>
                <c:pt idx="6">
                  <c:v>0.23076923076923073</c:v>
                </c:pt>
                <c:pt idx="7">
                  <c:v>0.21428571428571427</c:v>
                </c:pt>
                <c:pt idx="8">
                  <c:v>0.19780219780219779</c:v>
                </c:pt>
                <c:pt idx="9">
                  <c:v>0.18131868131868131</c:v>
                </c:pt>
                <c:pt idx="10">
                  <c:v>0.16483516483516483</c:v>
                </c:pt>
                <c:pt idx="11">
                  <c:v>0.14835164835164832</c:v>
                </c:pt>
                <c:pt idx="12">
                  <c:v>0.13186813186813187</c:v>
                </c:pt>
                <c:pt idx="13">
                  <c:v>0.11538461538461536</c:v>
                </c:pt>
                <c:pt idx="14">
                  <c:v>9.8901098901098911E-2</c:v>
                </c:pt>
                <c:pt idx="15">
                  <c:v>8.2417582417582416E-2</c:v>
                </c:pt>
                <c:pt idx="16">
                  <c:v>6.5934065934065908E-2</c:v>
                </c:pt>
                <c:pt idx="17">
                  <c:v>4.9450549450549455E-2</c:v>
                </c:pt>
                <c:pt idx="18">
                  <c:v>3.2967032967032954E-2</c:v>
                </c:pt>
                <c:pt idx="19">
                  <c:v>1.6483516483516498E-2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CDD-4DCA-BDC3-4C896C98F1E6}"/>
            </c:ext>
          </c:extLst>
        </c:ser>
        <c:ser>
          <c:idx val="4"/>
          <c:order val="4"/>
          <c:tx>
            <c:strRef>
              <c:f>Sheet2!$J$28</c:f>
              <c:strCache>
                <c:ptCount val="1"/>
                <c:pt idx="0">
                  <c:v>hh 12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Sheet2!$E$29:$E$49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Sheet2!$J$29:$J$49</c:f>
              <c:numCache>
                <c:formatCode>General</c:formatCode>
                <c:ptCount val="21"/>
                <c:pt idx="0">
                  <c:v>0.35714285714285715</c:v>
                </c:pt>
                <c:pt idx="1">
                  <c:v>0.33928571428571425</c:v>
                </c:pt>
                <c:pt idx="2">
                  <c:v>0.32142857142857145</c:v>
                </c:pt>
                <c:pt idx="3">
                  <c:v>0.30357142857142855</c:v>
                </c:pt>
                <c:pt idx="4">
                  <c:v>0.28571428571428575</c:v>
                </c:pt>
                <c:pt idx="5">
                  <c:v>0.26785714285714285</c:v>
                </c:pt>
                <c:pt idx="6">
                  <c:v>0.24999999999999997</c:v>
                </c:pt>
                <c:pt idx="7">
                  <c:v>0.23214285714285712</c:v>
                </c:pt>
                <c:pt idx="8">
                  <c:v>0.21428571428571427</c:v>
                </c:pt>
                <c:pt idx="9">
                  <c:v>0.19642857142857142</c:v>
                </c:pt>
                <c:pt idx="10">
                  <c:v>0.17857142857142858</c:v>
                </c:pt>
                <c:pt idx="11">
                  <c:v>0.1607142857142857</c:v>
                </c:pt>
                <c:pt idx="12">
                  <c:v>0.14285714285714288</c:v>
                </c:pt>
                <c:pt idx="13">
                  <c:v>0.12499999999999999</c:v>
                </c:pt>
                <c:pt idx="14">
                  <c:v>0.10714285714285715</c:v>
                </c:pt>
                <c:pt idx="15">
                  <c:v>8.9285714285714288E-2</c:v>
                </c:pt>
                <c:pt idx="16">
                  <c:v>7.1428571428571411E-2</c:v>
                </c:pt>
                <c:pt idx="17">
                  <c:v>5.3571428571428575E-2</c:v>
                </c:pt>
                <c:pt idx="18">
                  <c:v>3.5714285714285705E-2</c:v>
                </c:pt>
                <c:pt idx="19">
                  <c:v>1.7857142857142873E-2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CDD-4DCA-BDC3-4C896C98F1E6}"/>
            </c:ext>
          </c:extLst>
        </c:ser>
        <c:ser>
          <c:idx val="5"/>
          <c:order val="5"/>
          <c:tx>
            <c:strRef>
              <c:f>Sheet2!$K$28</c:f>
              <c:strCache>
                <c:ptCount val="1"/>
                <c:pt idx="0">
                  <c:v>hh 11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Sheet2!$E$29:$E$49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Sheet2!$K$29:$K$49</c:f>
              <c:numCache>
                <c:formatCode>General</c:formatCode>
                <c:ptCount val="21"/>
                <c:pt idx="0">
                  <c:v>0.38961038961038957</c:v>
                </c:pt>
                <c:pt idx="1">
                  <c:v>0.37012987012987009</c:v>
                </c:pt>
                <c:pt idx="2">
                  <c:v>0.35064935064935066</c:v>
                </c:pt>
                <c:pt idx="3">
                  <c:v>0.33116883116883117</c:v>
                </c:pt>
                <c:pt idx="4">
                  <c:v>0.31168831168831174</c:v>
                </c:pt>
                <c:pt idx="5">
                  <c:v>0.29220779220779219</c:v>
                </c:pt>
                <c:pt idx="6">
                  <c:v>0.27272727272727271</c:v>
                </c:pt>
                <c:pt idx="7">
                  <c:v>0.25324675324675322</c:v>
                </c:pt>
                <c:pt idx="8">
                  <c:v>0.23376623376623373</c:v>
                </c:pt>
                <c:pt idx="9">
                  <c:v>0.2142857142857143</c:v>
                </c:pt>
                <c:pt idx="10">
                  <c:v>0.19480519480519479</c:v>
                </c:pt>
                <c:pt idx="11">
                  <c:v>0.1753246753246753</c:v>
                </c:pt>
                <c:pt idx="12">
                  <c:v>0.15584415584415587</c:v>
                </c:pt>
                <c:pt idx="13">
                  <c:v>0.13636363636363635</c:v>
                </c:pt>
                <c:pt idx="14">
                  <c:v>0.11688311688311689</c:v>
                </c:pt>
                <c:pt idx="15">
                  <c:v>9.7402597402597393E-2</c:v>
                </c:pt>
                <c:pt idx="16">
                  <c:v>7.7922077922077893E-2</c:v>
                </c:pt>
                <c:pt idx="17">
                  <c:v>5.8441558441558447E-2</c:v>
                </c:pt>
                <c:pt idx="18">
                  <c:v>3.8961038961038946E-2</c:v>
                </c:pt>
                <c:pt idx="19">
                  <c:v>1.9480519480519497E-2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CDD-4DCA-BDC3-4C896C98F1E6}"/>
            </c:ext>
          </c:extLst>
        </c:ser>
        <c:ser>
          <c:idx val="6"/>
          <c:order val="6"/>
          <c:tx>
            <c:strRef>
              <c:f>Sheet2!$L$28</c:f>
              <c:strCache>
                <c:ptCount val="1"/>
                <c:pt idx="0">
                  <c:v>hh 10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Sheet2!$E$29:$E$49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Sheet2!$L$29:$L$49</c:f>
              <c:numCache>
                <c:formatCode>General</c:formatCode>
                <c:ptCount val="21"/>
                <c:pt idx="0">
                  <c:v>0.42857142857142855</c:v>
                </c:pt>
                <c:pt idx="1">
                  <c:v>0.40714285714285714</c:v>
                </c:pt>
                <c:pt idx="2">
                  <c:v>0.38571428571428573</c:v>
                </c:pt>
                <c:pt idx="3">
                  <c:v>0.36428571428571427</c:v>
                </c:pt>
                <c:pt idx="4">
                  <c:v>0.34285714285714286</c:v>
                </c:pt>
                <c:pt idx="5">
                  <c:v>0.32142857142857145</c:v>
                </c:pt>
                <c:pt idx="6">
                  <c:v>0.29999999999999993</c:v>
                </c:pt>
                <c:pt idx="7">
                  <c:v>0.27857142857142858</c:v>
                </c:pt>
                <c:pt idx="8">
                  <c:v>0.25714285714285712</c:v>
                </c:pt>
                <c:pt idx="9">
                  <c:v>0.23571428571428571</c:v>
                </c:pt>
                <c:pt idx="10">
                  <c:v>0.21428571428571427</c:v>
                </c:pt>
                <c:pt idx="11">
                  <c:v>0.19285714285714284</c:v>
                </c:pt>
                <c:pt idx="12">
                  <c:v>0.17142857142857143</c:v>
                </c:pt>
                <c:pt idx="13">
                  <c:v>0.14999999999999997</c:v>
                </c:pt>
                <c:pt idx="14">
                  <c:v>0.12857142857142859</c:v>
                </c:pt>
                <c:pt idx="15">
                  <c:v>0.10714285714285714</c:v>
                </c:pt>
                <c:pt idx="16">
                  <c:v>8.5714285714285687E-2</c:v>
                </c:pt>
                <c:pt idx="17">
                  <c:v>6.4285714285714293E-2</c:v>
                </c:pt>
                <c:pt idx="18">
                  <c:v>4.2857142857142844E-2</c:v>
                </c:pt>
                <c:pt idx="19">
                  <c:v>2.1428571428571446E-2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CDD-4DCA-BDC3-4C896C98F1E6}"/>
            </c:ext>
          </c:extLst>
        </c:ser>
        <c:ser>
          <c:idx val="7"/>
          <c:order val="7"/>
          <c:tx>
            <c:strRef>
              <c:f>Sheet2!$M$28</c:f>
              <c:strCache>
                <c:ptCount val="1"/>
                <c:pt idx="0">
                  <c:v>hh 9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Sheet2!$E$29:$E$49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Sheet2!$M$29:$M$49</c:f>
              <c:numCache>
                <c:formatCode>General</c:formatCode>
                <c:ptCount val="21"/>
                <c:pt idx="0">
                  <c:v>0.47619047619047616</c:v>
                </c:pt>
                <c:pt idx="1">
                  <c:v>0.45238095238095233</c:v>
                </c:pt>
                <c:pt idx="2">
                  <c:v>0.4285714285714286</c:v>
                </c:pt>
                <c:pt idx="3">
                  <c:v>0.40476190476190477</c:v>
                </c:pt>
                <c:pt idx="4">
                  <c:v>0.38095238095238099</c:v>
                </c:pt>
                <c:pt idx="5">
                  <c:v>0.35714285714285715</c:v>
                </c:pt>
                <c:pt idx="6">
                  <c:v>0.33333333333333326</c:v>
                </c:pt>
                <c:pt idx="7">
                  <c:v>0.30952380952380953</c:v>
                </c:pt>
                <c:pt idx="8">
                  <c:v>0.2857142857142857</c:v>
                </c:pt>
                <c:pt idx="9">
                  <c:v>0.26190476190476192</c:v>
                </c:pt>
                <c:pt idx="10">
                  <c:v>0.23809523809523808</c:v>
                </c:pt>
                <c:pt idx="11">
                  <c:v>0.21428571428571427</c:v>
                </c:pt>
                <c:pt idx="12">
                  <c:v>0.19047619047619049</c:v>
                </c:pt>
                <c:pt idx="13">
                  <c:v>0.16666666666666663</c:v>
                </c:pt>
                <c:pt idx="14">
                  <c:v>0.14285714285714288</c:v>
                </c:pt>
                <c:pt idx="15">
                  <c:v>0.11904761904761904</c:v>
                </c:pt>
                <c:pt idx="16">
                  <c:v>9.5238095238095205E-2</c:v>
                </c:pt>
                <c:pt idx="17">
                  <c:v>7.1428571428571438E-2</c:v>
                </c:pt>
                <c:pt idx="18">
                  <c:v>4.7619047619047603E-2</c:v>
                </c:pt>
                <c:pt idx="19">
                  <c:v>2.3809523809523829E-2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CDD-4DCA-BDC3-4C896C98F1E6}"/>
            </c:ext>
          </c:extLst>
        </c:ser>
        <c:ser>
          <c:idx val="8"/>
          <c:order val="8"/>
          <c:tx>
            <c:strRef>
              <c:f>Sheet2!$N$28</c:f>
              <c:strCache>
                <c:ptCount val="1"/>
                <c:pt idx="0">
                  <c:v>hh 8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Sheet2!$E$29:$E$49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Sheet2!$N$29:$N$49</c:f>
              <c:numCache>
                <c:formatCode>General</c:formatCode>
                <c:ptCount val="21"/>
                <c:pt idx="0">
                  <c:v>0.5357142857142857</c:v>
                </c:pt>
                <c:pt idx="1">
                  <c:v>0.5089285714285714</c:v>
                </c:pt>
                <c:pt idx="2">
                  <c:v>0.48214285714285715</c:v>
                </c:pt>
                <c:pt idx="3">
                  <c:v>0.45535714285714285</c:v>
                </c:pt>
                <c:pt idx="4">
                  <c:v>0.4285714285714286</c:v>
                </c:pt>
                <c:pt idx="5">
                  <c:v>0.4017857142857143</c:v>
                </c:pt>
                <c:pt idx="6">
                  <c:v>0.37499999999999994</c:v>
                </c:pt>
                <c:pt idx="7">
                  <c:v>0.3482142857142857</c:v>
                </c:pt>
                <c:pt idx="8">
                  <c:v>0.3214285714285714</c:v>
                </c:pt>
                <c:pt idx="9">
                  <c:v>0.29464285714285715</c:v>
                </c:pt>
                <c:pt idx="10">
                  <c:v>0.26785714285714285</c:v>
                </c:pt>
                <c:pt idx="11">
                  <c:v>0.24107142857142855</c:v>
                </c:pt>
                <c:pt idx="12">
                  <c:v>0.2142857142857143</c:v>
                </c:pt>
                <c:pt idx="13">
                  <c:v>0.18749999999999997</c:v>
                </c:pt>
                <c:pt idx="14">
                  <c:v>0.16071428571428573</c:v>
                </c:pt>
                <c:pt idx="15">
                  <c:v>0.13392857142857142</c:v>
                </c:pt>
                <c:pt idx="16">
                  <c:v>0.10714285714285711</c:v>
                </c:pt>
                <c:pt idx="17">
                  <c:v>8.0357142857142863E-2</c:v>
                </c:pt>
                <c:pt idx="18">
                  <c:v>5.3571428571428555E-2</c:v>
                </c:pt>
                <c:pt idx="19">
                  <c:v>2.6785714285714309E-2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CDD-4DCA-BDC3-4C896C98F1E6}"/>
            </c:ext>
          </c:extLst>
        </c:ser>
        <c:ser>
          <c:idx val="9"/>
          <c:order val="9"/>
          <c:tx>
            <c:strRef>
              <c:f>Sheet2!$O$28</c:f>
              <c:strCache>
                <c:ptCount val="1"/>
                <c:pt idx="0">
                  <c:v>hh 7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Sheet2!$E$29:$E$49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Sheet2!$O$29:$O$49</c:f>
              <c:numCache>
                <c:formatCode>General</c:formatCode>
                <c:ptCount val="21"/>
                <c:pt idx="0">
                  <c:v>0.61224489795918369</c:v>
                </c:pt>
                <c:pt idx="1">
                  <c:v>0.58163265306122447</c:v>
                </c:pt>
                <c:pt idx="2">
                  <c:v>0.55102040816326536</c:v>
                </c:pt>
                <c:pt idx="3">
                  <c:v>0.52040816326530615</c:v>
                </c:pt>
                <c:pt idx="4">
                  <c:v>0.48979591836734698</c:v>
                </c:pt>
                <c:pt idx="5">
                  <c:v>0.45918367346938777</c:v>
                </c:pt>
                <c:pt idx="6">
                  <c:v>0.42857142857142849</c:v>
                </c:pt>
                <c:pt idx="7">
                  <c:v>0.39795918367346939</c:v>
                </c:pt>
                <c:pt idx="8">
                  <c:v>0.36734693877551017</c:v>
                </c:pt>
                <c:pt idx="9">
                  <c:v>0.33673469387755101</c:v>
                </c:pt>
                <c:pt idx="10">
                  <c:v>0.30612244897959184</c:v>
                </c:pt>
                <c:pt idx="11">
                  <c:v>0.27551020408163263</c:v>
                </c:pt>
                <c:pt idx="12">
                  <c:v>0.24489795918367349</c:v>
                </c:pt>
                <c:pt idx="13">
                  <c:v>0.21428571428571425</c:v>
                </c:pt>
                <c:pt idx="14">
                  <c:v>0.18367346938775511</c:v>
                </c:pt>
                <c:pt idx="15">
                  <c:v>0.15306122448979592</c:v>
                </c:pt>
                <c:pt idx="16">
                  <c:v>0.12244897959183669</c:v>
                </c:pt>
                <c:pt idx="17">
                  <c:v>9.1836734693877556E-2</c:v>
                </c:pt>
                <c:pt idx="18">
                  <c:v>6.1224489795918345E-2</c:v>
                </c:pt>
                <c:pt idx="19">
                  <c:v>3.0612244897959211E-2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CDD-4DCA-BDC3-4C896C98F1E6}"/>
            </c:ext>
          </c:extLst>
        </c:ser>
        <c:ser>
          <c:idx val="10"/>
          <c:order val="10"/>
          <c:tx>
            <c:strRef>
              <c:f>Sheet2!$P$28</c:f>
              <c:strCache>
                <c:ptCount val="1"/>
                <c:pt idx="0">
                  <c:v>hh 6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Sheet2!$E$29:$E$49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Sheet2!$P$29:$P$49</c:f>
              <c:numCache>
                <c:formatCode>General</c:formatCode>
                <c:ptCount val="21"/>
                <c:pt idx="0">
                  <c:v>0.7142857142857143</c:v>
                </c:pt>
                <c:pt idx="1">
                  <c:v>0.67857142857142849</c:v>
                </c:pt>
                <c:pt idx="2">
                  <c:v>0.6428571428571429</c:v>
                </c:pt>
                <c:pt idx="3">
                  <c:v>0.6071428571428571</c:v>
                </c:pt>
                <c:pt idx="4">
                  <c:v>0.57142857142857151</c:v>
                </c:pt>
                <c:pt idx="5">
                  <c:v>0.5357142857142857</c:v>
                </c:pt>
                <c:pt idx="6">
                  <c:v>0.49999999999999994</c:v>
                </c:pt>
                <c:pt idx="7">
                  <c:v>0.46428571428571425</c:v>
                </c:pt>
                <c:pt idx="8">
                  <c:v>0.42857142857142855</c:v>
                </c:pt>
                <c:pt idx="9">
                  <c:v>0.39285714285714285</c:v>
                </c:pt>
                <c:pt idx="10">
                  <c:v>0.35714285714285715</c:v>
                </c:pt>
                <c:pt idx="11">
                  <c:v>0.3214285714285714</c:v>
                </c:pt>
                <c:pt idx="12">
                  <c:v>0.28571428571428575</c:v>
                </c:pt>
                <c:pt idx="13">
                  <c:v>0.24999999999999997</c:v>
                </c:pt>
                <c:pt idx="14">
                  <c:v>0.2142857142857143</c:v>
                </c:pt>
                <c:pt idx="15">
                  <c:v>0.17857142857142858</c:v>
                </c:pt>
                <c:pt idx="16">
                  <c:v>0.14285714285714282</c:v>
                </c:pt>
                <c:pt idx="17">
                  <c:v>0.10714285714285715</c:v>
                </c:pt>
                <c:pt idx="18">
                  <c:v>7.1428571428571411E-2</c:v>
                </c:pt>
                <c:pt idx="19">
                  <c:v>3.5714285714285747E-2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CDD-4DCA-BDC3-4C896C98F1E6}"/>
            </c:ext>
          </c:extLst>
        </c:ser>
        <c:ser>
          <c:idx val="11"/>
          <c:order val="11"/>
          <c:tx>
            <c:strRef>
              <c:f>Sheet2!$Q$28</c:f>
              <c:strCache>
                <c:ptCount val="1"/>
                <c:pt idx="0">
                  <c:v>hh 5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Sheet2!$E$29:$E$49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Sheet2!$Q$29:$Q$49</c:f>
              <c:numCache>
                <c:formatCode>General</c:formatCode>
                <c:ptCount val="21"/>
                <c:pt idx="0">
                  <c:v>0.8571428571428571</c:v>
                </c:pt>
                <c:pt idx="1">
                  <c:v>0.81428571428571428</c:v>
                </c:pt>
                <c:pt idx="2">
                  <c:v>0.77142857142857146</c:v>
                </c:pt>
                <c:pt idx="3">
                  <c:v>0.72857142857142854</c:v>
                </c:pt>
                <c:pt idx="4">
                  <c:v>0.68571428571428572</c:v>
                </c:pt>
                <c:pt idx="5">
                  <c:v>0.6428571428571429</c:v>
                </c:pt>
                <c:pt idx="6">
                  <c:v>0.59999999999999987</c:v>
                </c:pt>
                <c:pt idx="7">
                  <c:v>0.55714285714285716</c:v>
                </c:pt>
                <c:pt idx="8">
                  <c:v>0.51428571428571423</c:v>
                </c:pt>
                <c:pt idx="9">
                  <c:v>0.47142857142857142</c:v>
                </c:pt>
                <c:pt idx="10">
                  <c:v>0.42857142857142855</c:v>
                </c:pt>
                <c:pt idx="11">
                  <c:v>0.38571428571428568</c:v>
                </c:pt>
                <c:pt idx="12">
                  <c:v>0.34285714285714286</c:v>
                </c:pt>
                <c:pt idx="13">
                  <c:v>0.29999999999999993</c:v>
                </c:pt>
                <c:pt idx="14">
                  <c:v>0.25714285714285717</c:v>
                </c:pt>
                <c:pt idx="15">
                  <c:v>0.21428571428571427</c:v>
                </c:pt>
                <c:pt idx="16">
                  <c:v>0.17142857142857137</c:v>
                </c:pt>
                <c:pt idx="17">
                  <c:v>0.12857142857142859</c:v>
                </c:pt>
                <c:pt idx="18">
                  <c:v>8.5714285714285687E-2</c:v>
                </c:pt>
                <c:pt idx="19">
                  <c:v>4.2857142857142892E-2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CDD-4DCA-BDC3-4C896C98F1E6}"/>
            </c:ext>
          </c:extLst>
        </c:ser>
        <c:ser>
          <c:idx val="12"/>
          <c:order val="12"/>
          <c:tx>
            <c:strRef>
              <c:f>Sheet2!$R$28</c:f>
              <c:strCache>
                <c:ptCount val="1"/>
                <c:pt idx="0">
                  <c:v>hh 4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Sheet2!$E$29:$E$49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Sheet2!$R$29:$R$49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0.9642857142857143</c:v>
                </c:pt>
                <c:pt idx="3">
                  <c:v>0.9107142857142857</c:v>
                </c:pt>
                <c:pt idx="4">
                  <c:v>0.85714285714285721</c:v>
                </c:pt>
                <c:pt idx="5">
                  <c:v>0.8035714285714286</c:v>
                </c:pt>
                <c:pt idx="6">
                  <c:v>0.74999999999999989</c:v>
                </c:pt>
                <c:pt idx="7">
                  <c:v>0.6964285714285714</c:v>
                </c:pt>
                <c:pt idx="8">
                  <c:v>0.64285714285714279</c:v>
                </c:pt>
                <c:pt idx="9">
                  <c:v>0.5892857142857143</c:v>
                </c:pt>
                <c:pt idx="10">
                  <c:v>0.5357142857142857</c:v>
                </c:pt>
                <c:pt idx="11">
                  <c:v>0.4821428571428571</c:v>
                </c:pt>
                <c:pt idx="12">
                  <c:v>0.4285714285714286</c:v>
                </c:pt>
                <c:pt idx="13">
                  <c:v>0.37499999999999994</c:v>
                </c:pt>
                <c:pt idx="14">
                  <c:v>0.32142857142857145</c:v>
                </c:pt>
                <c:pt idx="15">
                  <c:v>0.26785714285714285</c:v>
                </c:pt>
                <c:pt idx="16">
                  <c:v>0.21428571428571422</c:v>
                </c:pt>
                <c:pt idx="17">
                  <c:v>0.16071428571428573</c:v>
                </c:pt>
                <c:pt idx="18">
                  <c:v>0.10714285714285711</c:v>
                </c:pt>
                <c:pt idx="19">
                  <c:v>5.3571428571428617E-2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BA-4329-BA91-A14C4EE7A973}"/>
            </c:ext>
          </c:extLst>
        </c:ser>
        <c:ser>
          <c:idx val="13"/>
          <c:order val="13"/>
          <c:tx>
            <c:strRef>
              <c:f>Sheet2!$S$28</c:f>
              <c:strCache>
                <c:ptCount val="1"/>
                <c:pt idx="0">
                  <c:v>hh 3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Sheet2!$E$29:$E$49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Sheet2!$S$29:$S$49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0.92857142857142849</c:v>
                </c:pt>
                <c:pt idx="8">
                  <c:v>0.8571428571428571</c:v>
                </c:pt>
                <c:pt idx="9">
                  <c:v>0.7857142857142857</c:v>
                </c:pt>
                <c:pt idx="10">
                  <c:v>0.7142857142857143</c:v>
                </c:pt>
                <c:pt idx="11">
                  <c:v>0.64285714285714279</c:v>
                </c:pt>
                <c:pt idx="12">
                  <c:v>0.57142857142857151</c:v>
                </c:pt>
                <c:pt idx="13">
                  <c:v>0.49999999999999994</c:v>
                </c:pt>
                <c:pt idx="14">
                  <c:v>0.4285714285714286</c:v>
                </c:pt>
                <c:pt idx="15">
                  <c:v>0.35714285714285715</c:v>
                </c:pt>
                <c:pt idx="16">
                  <c:v>0.28571428571428564</c:v>
                </c:pt>
                <c:pt idx="17">
                  <c:v>0.2142857142857143</c:v>
                </c:pt>
                <c:pt idx="18">
                  <c:v>0.14285714285714282</c:v>
                </c:pt>
                <c:pt idx="19">
                  <c:v>7.1428571428571494E-2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BA-4329-BA91-A14C4EE7A973}"/>
            </c:ext>
          </c:extLst>
        </c:ser>
        <c:ser>
          <c:idx val="14"/>
          <c:order val="14"/>
          <c:tx>
            <c:strRef>
              <c:f>Sheet2!$T$28</c:f>
              <c:strCache>
                <c:ptCount val="1"/>
                <c:pt idx="0">
                  <c:v>hh 2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Sheet2!$E$29:$E$49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Sheet2!$T$29:$T$49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0.96428571428571419</c:v>
                </c:pt>
                <c:pt idx="12">
                  <c:v>0.85714285714285721</c:v>
                </c:pt>
                <c:pt idx="13">
                  <c:v>0.74999999999999989</c:v>
                </c:pt>
                <c:pt idx="14">
                  <c:v>0.6428571428571429</c:v>
                </c:pt>
                <c:pt idx="15">
                  <c:v>0.5357142857142857</c:v>
                </c:pt>
                <c:pt idx="16">
                  <c:v>0.42857142857142844</c:v>
                </c:pt>
                <c:pt idx="17">
                  <c:v>0.32142857142857145</c:v>
                </c:pt>
                <c:pt idx="18">
                  <c:v>0.21428571428571422</c:v>
                </c:pt>
                <c:pt idx="19">
                  <c:v>0.10714285714285723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4BA-4329-BA91-A14C4EE7A973}"/>
            </c:ext>
          </c:extLst>
        </c:ser>
        <c:ser>
          <c:idx val="15"/>
          <c:order val="15"/>
          <c:tx>
            <c:strRef>
              <c:f>Sheet2!$U$28</c:f>
              <c:strCache>
                <c:ptCount val="1"/>
                <c:pt idx="0">
                  <c:v>hh 1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Sheet2!$E$29:$E$49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Sheet2!$U$29:$U$49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0.85714285714285687</c:v>
                </c:pt>
                <c:pt idx="17">
                  <c:v>0.6428571428571429</c:v>
                </c:pt>
                <c:pt idx="18">
                  <c:v>0.42857142857142844</c:v>
                </c:pt>
                <c:pt idx="19">
                  <c:v>0.21428571428571447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4BA-4329-BA91-A14C4EE7A973}"/>
            </c:ext>
          </c:extLst>
        </c:ser>
        <c:ser>
          <c:idx val="16"/>
          <c:order val="16"/>
          <c:tx>
            <c:strRef>
              <c:f>Sheet2!$V$28</c:f>
              <c:strCache>
                <c:ptCount val="1"/>
                <c:pt idx="0">
                  <c:v>hh 0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Sheet2!$E$29:$E$49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Sheet2!$V$29:$V$49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4BA-4329-BA91-A14C4EE7A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8631632"/>
        <c:axId val="1168634992"/>
      </c:scatterChart>
      <c:valAx>
        <c:axId val="1168631632"/>
        <c:scaling>
          <c:orientation val="minMax"/>
          <c:max val="10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Remaining SOC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634992"/>
        <c:crosses val="autoZero"/>
        <c:crossBetween val="midCat"/>
      </c:valAx>
      <c:valAx>
        <c:axId val="116863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631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7870787829204463E-2"/>
          <c:y val="0.89991253027662632"/>
          <c:w val="0.95888934064636921"/>
          <c:h val="8.81576452718363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(exp-soc)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Sheet2!$C$3</c:f>
              <c:strCache>
                <c:ptCount val="1"/>
                <c:pt idx="0">
                  <c:v>(exp-soc)^2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Sheet2!$A$4:$A$24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Sheet2!$C$4:$C$24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0.9</c:v>
                </c:pt>
                <c:pt idx="3">
                  <c:v>0.85</c:v>
                </c:pt>
                <c:pt idx="4">
                  <c:v>0.8</c:v>
                </c:pt>
                <c:pt idx="5">
                  <c:v>0.75</c:v>
                </c:pt>
                <c:pt idx="6">
                  <c:v>0.7</c:v>
                </c:pt>
                <c:pt idx="7">
                  <c:v>0.65</c:v>
                </c:pt>
                <c:pt idx="8">
                  <c:v>0.6</c:v>
                </c:pt>
                <c:pt idx="9">
                  <c:v>0.55000000000000004</c:v>
                </c:pt>
                <c:pt idx="10">
                  <c:v>0.5</c:v>
                </c:pt>
                <c:pt idx="11">
                  <c:v>0.44999999999999996</c:v>
                </c:pt>
                <c:pt idx="12">
                  <c:v>0.4</c:v>
                </c:pt>
                <c:pt idx="13">
                  <c:v>0.35</c:v>
                </c:pt>
                <c:pt idx="14">
                  <c:v>0.30000000000000004</c:v>
                </c:pt>
                <c:pt idx="15">
                  <c:v>0.25</c:v>
                </c:pt>
                <c:pt idx="16">
                  <c:v>0.19999999999999996</c:v>
                </c:pt>
                <c:pt idx="17">
                  <c:v>0.15000000000000002</c:v>
                </c:pt>
                <c:pt idx="18">
                  <c:v>9.9999999999999978E-2</c:v>
                </c:pt>
                <c:pt idx="19">
                  <c:v>5.0000000000000044E-2</c:v>
                </c:pt>
                <c:pt idx="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6C-4D8E-9384-B9817ED00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9544768"/>
        <c:axId val="1289548608"/>
      </c:scatterChart>
      <c:valAx>
        <c:axId val="1289544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SOC</a:t>
                </a:r>
              </a:p>
            </c:rich>
          </c:tx>
          <c:layout>
            <c:manualLayout>
              <c:xMode val="edge"/>
              <c:yMode val="edge"/>
              <c:x val="0.4914685259037741"/>
              <c:y val="0.902948867425583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548608"/>
        <c:crosses val="autoZero"/>
        <c:crossBetween val="midCat"/>
      </c:valAx>
      <c:valAx>
        <c:axId val="128954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Reward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544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Sheet2!$Z$4</c:f>
              <c:strCache>
                <c:ptCount val="1"/>
                <c:pt idx="0">
                  <c:v>Reward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Sheet2!$Y$5:$Y$25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Sheet2!$Z$5:$Z$25</c:f>
              <c:numCache>
                <c:formatCode>General</c:formatCode>
                <c:ptCount val="21"/>
                <c:pt idx="0">
                  <c:v>-0.5</c:v>
                </c:pt>
                <c:pt idx="1">
                  <c:v>-0.5</c:v>
                </c:pt>
                <c:pt idx="2">
                  <c:v>-0.5</c:v>
                </c:pt>
                <c:pt idx="3">
                  <c:v>-0.5</c:v>
                </c:pt>
                <c:pt idx="4">
                  <c:v>-0.5</c:v>
                </c:pt>
                <c:pt idx="5">
                  <c:v>-0.5</c:v>
                </c:pt>
                <c:pt idx="6">
                  <c:v>-0.5</c:v>
                </c:pt>
                <c:pt idx="7">
                  <c:v>-0.5</c:v>
                </c:pt>
                <c:pt idx="8">
                  <c:v>-0.5</c:v>
                </c:pt>
                <c:pt idx="9">
                  <c:v>-0.5</c:v>
                </c:pt>
                <c:pt idx="10">
                  <c:v>-0.5</c:v>
                </c:pt>
                <c:pt idx="11">
                  <c:v>-0.5</c:v>
                </c:pt>
                <c:pt idx="12">
                  <c:v>-0.5</c:v>
                </c:pt>
                <c:pt idx="13">
                  <c:v>-0.5</c:v>
                </c:pt>
                <c:pt idx="14">
                  <c:v>-0.5</c:v>
                </c:pt>
                <c:pt idx="15">
                  <c:v>-0.5</c:v>
                </c:pt>
                <c:pt idx="16">
                  <c:v>-0.5</c:v>
                </c:pt>
                <c:pt idx="17">
                  <c:v>-0.5</c:v>
                </c:pt>
                <c:pt idx="18">
                  <c:v>-0.5</c:v>
                </c:pt>
                <c:pt idx="19">
                  <c:v>-0.5</c:v>
                </c:pt>
                <c:pt idx="20">
                  <c:v>-0.5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03-4178-AB78-5274DD6D4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9563968"/>
        <c:axId val="1289564928"/>
      </c:scatterChart>
      <c:valAx>
        <c:axId val="128956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564928"/>
        <c:crosses val="autoZero"/>
        <c:crossBetween val="midCat"/>
      </c:valAx>
      <c:valAx>
        <c:axId val="128956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563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Cost penality w.r. t to user defined weight [Expected SOC and DC time]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Sheet2!$AU$28</c:f>
              <c:strCache>
                <c:ptCount val="1"/>
                <c:pt idx="0">
                  <c:v>hh 16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Sheet2!$AT$29:$AT$49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Sheet2!$AU$29:$AU$49</c:f>
              <c:numCache>
                <c:formatCode>General</c:formatCode>
                <c:ptCount val="21"/>
                <c:pt idx="0">
                  <c:v>0</c:v>
                </c:pt>
                <c:pt idx="1">
                  <c:v>3.7276785714285714E-2</c:v>
                </c:pt>
                <c:pt idx="2">
                  <c:v>7.5892857142857151E-2</c:v>
                </c:pt>
                <c:pt idx="3">
                  <c:v>0.11584821428571429</c:v>
                </c:pt>
                <c:pt idx="4">
                  <c:v>0.15714285714285714</c:v>
                </c:pt>
                <c:pt idx="5">
                  <c:v>0.1997767857142857</c:v>
                </c:pt>
                <c:pt idx="6">
                  <c:v>0.24374999999999999</c:v>
                </c:pt>
                <c:pt idx="7">
                  <c:v>0.2890625</c:v>
                </c:pt>
                <c:pt idx="8">
                  <c:v>0.33571428571428574</c:v>
                </c:pt>
                <c:pt idx="9">
                  <c:v>0.38370535714285714</c:v>
                </c:pt>
                <c:pt idx="10">
                  <c:v>0.4330357142857143</c:v>
                </c:pt>
                <c:pt idx="11">
                  <c:v>0.48370535714285717</c:v>
                </c:pt>
                <c:pt idx="12">
                  <c:v>0.5357142857142857</c:v>
                </c:pt>
                <c:pt idx="13">
                  <c:v>0.58906250000000004</c:v>
                </c:pt>
                <c:pt idx="14">
                  <c:v>0.64374999999999993</c:v>
                </c:pt>
                <c:pt idx="15">
                  <c:v>0.6997767857142857</c:v>
                </c:pt>
                <c:pt idx="16">
                  <c:v>0.75714285714285712</c:v>
                </c:pt>
                <c:pt idx="17">
                  <c:v>0.8158482142857143</c:v>
                </c:pt>
                <c:pt idx="18">
                  <c:v>0.87589285714285714</c:v>
                </c:pt>
                <c:pt idx="19">
                  <c:v>0.93727678571428563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73-408A-BC91-2B9C4C993EB4}"/>
            </c:ext>
          </c:extLst>
        </c:ser>
        <c:ser>
          <c:idx val="1"/>
          <c:order val="1"/>
          <c:tx>
            <c:strRef>
              <c:f>Sheet2!$AV$28</c:f>
              <c:strCache>
                <c:ptCount val="1"/>
                <c:pt idx="0">
                  <c:v>hh 15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Sheet2!$AT$29:$AT$49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Sheet2!$AV$29:$AV$49</c:f>
              <c:numCache>
                <c:formatCode>General</c:formatCode>
                <c:ptCount val="21"/>
                <c:pt idx="0">
                  <c:v>0</c:v>
                </c:pt>
                <c:pt idx="1">
                  <c:v>3.6428571428571435E-2</c:v>
                </c:pt>
                <c:pt idx="2">
                  <c:v>7.4285714285714288E-2</c:v>
                </c:pt>
                <c:pt idx="3">
                  <c:v>0.11357142857142856</c:v>
                </c:pt>
                <c:pt idx="4">
                  <c:v>0.15428571428571428</c:v>
                </c:pt>
                <c:pt idx="5">
                  <c:v>0.19642857142857142</c:v>
                </c:pt>
                <c:pt idx="6">
                  <c:v>0.24</c:v>
                </c:pt>
                <c:pt idx="7">
                  <c:v>0.28499999999999998</c:v>
                </c:pt>
                <c:pt idx="8">
                  <c:v>0.33142857142857146</c:v>
                </c:pt>
                <c:pt idx="9">
                  <c:v>0.37928571428571428</c:v>
                </c:pt>
                <c:pt idx="10">
                  <c:v>0.4285714285714286</c:v>
                </c:pt>
                <c:pt idx="11">
                  <c:v>0.47928571428571431</c:v>
                </c:pt>
                <c:pt idx="12">
                  <c:v>0.53142857142857136</c:v>
                </c:pt>
                <c:pt idx="13">
                  <c:v>0.58500000000000008</c:v>
                </c:pt>
                <c:pt idx="14">
                  <c:v>0.6399999999999999</c:v>
                </c:pt>
                <c:pt idx="15">
                  <c:v>0.6964285714285714</c:v>
                </c:pt>
                <c:pt idx="16">
                  <c:v>0.75428571428571434</c:v>
                </c:pt>
                <c:pt idx="17">
                  <c:v>0.81357142857142861</c:v>
                </c:pt>
                <c:pt idx="18">
                  <c:v>0.87428571428571433</c:v>
                </c:pt>
                <c:pt idx="19">
                  <c:v>0.93642857142857128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E73-408A-BC91-2B9C4C993EB4}"/>
            </c:ext>
          </c:extLst>
        </c:ser>
        <c:ser>
          <c:idx val="2"/>
          <c:order val="2"/>
          <c:tx>
            <c:strRef>
              <c:f>Sheet2!$AW$28</c:f>
              <c:strCache>
                <c:ptCount val="1"/>
                <c:pt idx="0">
                  <c:v>hh 14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Sheet2!$AT$29:$AT$49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Sheet2!$AW$29:$AW$49</c:f>
              <c:numCache>
                <c:formatCode>General</c:formatCode>
                <c:ptCount val="21"/>
                <c:pt idx="0">
                  <c:v>0</c:v>
                </c:pt>
                <c:pt idx="1">
                  <c:v>3.545918367346939E-2</c:v>
                </c:pt>
                <c:pt idx="2">
                  <c:v>7.2448979591836743E-2</c:v>
                </c:pt>
                <c:pt idx="3">
                  <c:v>0.11096938775510204</c:v>
                </c:pt>
                <c:pt idx="4">
                  <c:v>0.15102040816326531</c:v>
                </c:pt>
                <c:pt idx="5">
                  <c:v>0.19260204081632654</c:v>
                </c:pt>
                <c:pt idx="6">
                  <c:v>0.23571428571428574</c:v>
                </c:pt>
                <c:pt idx="7">
                  <c:v>0.2803571428571428</c:v>
                </c:pt>
                <c:pt idx="8">
                  <c:v>0.32653061224489799</c:v>
                </c:pt>
                <c:pt idx="9">
                  <c:v>0.37423469387755104</c:v>
                </c:pt>
                <c:pt idx="10">
                  <c:v>0.42346938775510201</c:v>
                </c:pt>
                <c:pt idx="11">
                  <c:v>0.47423469387755107</c:v>
                </c:pt>
                <c:pt idx="12">
                  <c:v>0.52653061224489794</c:v>
                </c:pt>
                <c:pt idx="13">
                  <c:v>0.5803571428571429</c:v>
                </c:pt>
                <c:pt idx="14">
                  <c:v>0.63571428571428568</c:v>
                </c:pt>
                <c:pt idx="15">
                  <c:v>0.69260204081632648</c:v>
                </c:pt>
                <c:pt idx="16">
                  <c:v>0.75102040816326543</c:v>
                </c:pt>
                <c:pt idx="17">
                  <c:v>0.81096938775510208</c:v>
                </c:pt>
                <c:pt idx="18">
                  <c:v>0.87244897959183676</c:v>
                </c:pt>
                <c:pt idx="19">
                  <c:v>0.93545918367346936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E73-408A-BC91-2B9C4C993EB4}"/>
            </c:ext>
          </c:extLst>
        </c:ser>
        <c:ser>
          <c:idx val="3"/>
          <c:order val="3"/>
          <c:tx>
            <c:strRef>
              <c:f>Sheet2!$AX$28</c:f>
              <c:strCache>
                <c:ptCount val="1"/>
                <c:pt idx="0">
                  <c:v>hh 13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Sheet2!$AT$29:$AT$49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Sheet2!$AX$29:$AX$49</c:f>
              <c:numCache>
                <c:formatCode>General</c:formatCode>
                <c:ptCount val="21"/>
                <c:pt idx="0">
                  <c:v>0</c:v>
                </c:pt>
                <c:pt idx="1">
                  <c:v>3.4340659340659344E-2</c:v>
                </c:pt>
                <c:pt idx="2">
                  <c:v>7.032967032967033E-2</c:v>
                </c:pt>
                <c:pt idx="3">
                  <c:v>0.10796703296703296</c:v>
                </c:pt>
                <c:pt idx="4">
                  <c:v>0.14725274725274726</c:v>
                </c:pt>
                <c:pt idx="5">
                  <c:v>0.18818681318681318</c:v>
                </c:pt>
                <c:pt idx="6">
                  <c:v>0.23076923076923078</c:v>
                </c:pt>
                <c:pt idx="7">
                  <c:v>0.27499999999999997</c:v>
                </c:pt>
                <c:pt idx="8">
                  <c:v>0.3208791208791209</c:v>
                </c:pt>
                <c:pt idx="9">
                  <c:v>0.36840659340659343</c:v>
                </c:pt>
                <c:pt idx="10">
                  <c:v>0.4175824175824176</c:v>
                </c:pt>
                <c:pt idx="11">
                  <c:v>0.46840659340659346</c:v>
                </c:pt>
                <c:pt idx="12">
                  <c:v>0.52087912087912092</c:v>
                </c:pt>
                <c:pt idx="13">
                  <c:v>0.57499999999999996</c:v>
                </c:pt>
                <c:pt idx="14">
                  <c:v>0.63076923076923075</c:v>
                </c:pt>
                <c:pt idx="15">
                  <c:v>0.68818681318681318</c:v>
                </c:pt>
                <c:pt idx="16">
                  <c:v>0.74725274725274726</c:v>
                </c:pt>
                <c:pt idx="17">
                  <c:v>0.80796703296703287</c:v>
                </c:pt>
                <c:pt idx="18">
                  <c:v>0.87032967032967035</c:v>
                </c:pt>
                <c:pt idx="19">
                  <c:v>0.93434065934065924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E73-408A-BC91-2B9C4C993EB4}"/>
            </c:ext>
          </c:extLst>
        </c:ser>
        <c:ser>
          <c:idx val="4"/>
          <c:order val="4"/>
          <c:tx>
            <c:strRef>
              <c:f>Sheet2!$AY$28</c:f>
              <c:strCache>
                <c:ptCount val="1"/>
                <c:pt idx="0">
                  <c:v>hh 12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Sheet2!$AT$29:$AT$49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Sheet2!$AY$29:$AY$49</c:f>
              <c:numCache>
                <c:formatCode>General</c:formatCode>
                <c:ptCount val="21"/>
                <c:pt idx="0">
                  <c:v>0</c:v>
                </c:pt>
                <c:pt idx="1">
                  <c:v>3.3035714285714293E-2</c:v>
                </c:pt>
                <c:pt idx="2">
                  <c:v>6.7857142857142866E-2</c:v>
                </c:pt>
                <c:pt idx="3">
                  <c:v>0.1044642857142857</c:v>
                </c:pt>
                <c:pt idx="4">
                  <c:v>0.14285714285714285</c:v>
                </c:pt>
                <c:pt idx="5">
                  <c:v>0.1830357142857143</c:v>
                </c:pt>
                <c:pt idx="6">
                  <c:v>0.22499999999999998</c:v>
                </c:pt>
                <c:pt idx="7">
                  <c:v>0.26874999999999999</c:v>
                </c:pt>
                <c:pt idx="8">
                  <c:v>0.31428571428571428</c:v>
                </c:pt>
                <c:pt idx="9">
                  <c:v>0.3616071428571429</c:v>
                </c:pt>
                <c:pt idx="10">
                  <c:v>0.4107142857142857</c:v>
                </c:pt>
                <c:pt idx="11">
                  <c:v>0.46160714285714288</c:v>
                </c:pt>
                <c:pt idx="12">
                  <c:v>0.51428571428571423</c:v>
                </c:pt>
                <c:pt idx="13">
                  <c:v>0.56874999999999998</c:v>
                </c:pt>
                <c:pt idx="14">
                  <c:v>0.62499999999999989</c:v>
                </c:pt>
                <c:pt idx="15">
                  <c:v>0.6830357142857143</c:v>
                </c:pt>
                <c:pt idx="16">
                  <c:v>0.74285714285714288</c:v>
                </c:pt>
                <c:pt idx="17">
                  <c:v>0.80446428571428563</c:v>
                </c:pt>
                <c:pt idx="18">
                  <c:v>0.86785714285714288</c:v>
                </c:pt>
                <c:pt idx="19">
                  <c:v>0.93303571428571419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E73-408A-BC91-2B9C4C993EB4}"/>
            </c:ext>
          </c:extLst>
        </c:ser>
        <c:ser>
          <c:idx val="5"/>
          <c:order val="5"/>
          <c:tx>
            <c:strRef>
              <c:f>Sheet2!$AZ$28</c:f>
              <c:strCache>
                <c:ptCount val="1"/>
                <c:pt idx="0">
                  <c:v>hh 11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Sheet2!$AT$29:$AT$49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Sheet2!$AZ$29:$AZ$49</c:f>
              <c:numCache>
                <c:formatCode>General</c:formatCode>
                <c:ptCount val="21"/>
                <c:pt idx="0">
                  <c:v>0</c:v>
                </c:pt>
                <c:pt idx="1">
                  <c:v>3.1493506493506497E-2</c:v>
                </c:pt>
                <c:pt idx="2">
                  <c:v>6.4935064935064943E-2</c:v>
                </c:pt>
                <c:pt idx="3">
                  <c:v>0.10032467532467532</c:v>
                </c:pt>
                <c:pt idx="4">
                  <c:v>0.13766233766233765</c:v>
                </c:pt>
                <c:pt idx="5">
                  <c:v>0.17694805194805197</c:v>
                </c:pt>
                <c:pt idx="6">
                  <c:v>0.21818181818181817</c:v>
                </c:pt>
                <c:pt idx="7">
                  <c:v>0.26136363636363635</c:v>
                </c:pt>
                <c:pt idx="8">
                  <c:v>0.30649350649350654</c:v>
                </c:pt>
                <c:pt idx="9">
                  <c:v>0.35357142857142859</c:v>
                </c:pt>
                <c:pt idx="10">
                  <c:v>0.40259740259740262</c:v>
                </c:pt>
                <c:pt idx="11">
                  <c:v>0.45357142857142863</c:v>
                </c:pt>
                <c:pt idx="12">
                  <c:v>0.50649350649350644</c:v>
                </c:pt>
                <c:pt idx="13">
                  <c:v>0.5613636363636364</c:v>
                </c:pt>
                <c:pt idx="14">
                  <c:v>0.61818181818181817</c:v>
                </c:pt>
                <c:pt idx="15">
                  <c:v>0.67694805194805197</c:v>
                </c:pt>
                <c:pt idx="16">
                  <c:v>0.73766233766233769</c:v>
                </c:pt>
                <c:pt idx="17">
                  <c:v>0.80032467532467533</c:v>
                </c:pt>
                <c:pt idx="18">
                  <c:v>0.86493506493506489</c:v>
                </c:pt>
                <c:pt idx="19">
                  <c:v>0.93149350649350637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E73-408A-BC91-2B9C4C993EB4}"/>
            </c:ext>
          </c:extLst>
        </c:ser>
        <c:ser>
          <c:idx val="6"/>
          <c:order val="6"/>
          <c:tx>
            <c:strRef>
              <c:f>Sheet2!$BA$28</c:f>
              <c:strCache>
                <c:ptCount val="1"/>
                <c:pt idx="0">
                  <c:v>hh 10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Sheet2!$AT$29:$AT$49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Sheet2!$BA$29:$BA$49</c:f>
              <c:numCache>
                <c:formatCode>General</c:formatCode>
                <c:ptCount val="21"/>
                <c:pt idx="0">
                  <c:v>0</c:v>
                </c:pt>
                <c:pt idx="1">
                  <c:v>2.9642857142857144E-2</c:v>
                </c:pt>
                <c:pt idx="2">
                  <c:v>6.1428571428571437E-2</c:v>
                </c:pt>
                <c:pt idx="3">
                  <c:v>9.5357142857142849E-2</c:v>
                </c:pt>
                <c:pt idx="4">
                  <c:v>0.13142857142857142</c:v>
                </c:pt>
                <c:pt idx="5">
                  <c:v>0.16964285714285715</c:v>
                </c:pt>
                <c:pt idx="6">
                  <c:v>0.21000000000000002</c:v>
                </c:pt>
                <c:pt idx="7">
                  <c:v>0.2525</c:v>
                </c:pt>
                <c:pt idx="8">
                  <c:v>0.29714285714285715</c:v>
                </c:pt>
                <c:pt idx="9">
                  <c:v>0.34392857142857142</c:v>
                </c:pt>
                <c:pt idx="10">
                  <c:v>0.39285714285714285</c:v>
                </c:pt>
                <c:pt idx="11">
                  <c:v>0.44392857142857145</c:v>
                </c:pt>
                <c:pt idx="12">
                  <c:v>0.49714285714285711</c:v>
                </c:pt>
                <c:pt idx="13">
                  <c:v>0.5525000000000001</c:v>
                </c:pt>
                <c:pt idx="14">
                  <c:v>0.61</c:v>
                </c:pt>
                <c:pt idx="15">
                  <c:v>0.66964285714285721</c:v>
                </c:pt>
                <c:pt idx="16">
                  <c:v>0.73142857142857154</c:v>
                </c:pt>
                <c:pt idx="17">
                  <c:v>0.79535714285714287</c:v>
                </c:pt>
                <c:pt idx="18">
                  <c:v>0.86142857142857143</c:v>
                </c:pt>
                <c:pt idx="19">
                  <c:v>0.9296428571428571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E73-408A-BC91-2B9C4C993EB4}"/>
            </c:ext>
          </c:extLst>
        </c:ser>
        <c:ser>
          <c:idx val="7"/>
          <c:order val="7"/>
          <c:tx>
            <c:strRef>
              <c:f>Sheet2!$BB$28</c:f>
              <c:strCache>
                <c:ptCount val="1"/>
                <c:pt idx="0">
                  <c:v>hh 9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Sheet2!$AT$29:$AT$49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Sheet2!$BB$29:$BB$49</c:f>
              <c:numCache>
                <c:formatCode>General</c:formatCode>
                <c:ptCount val="21"/>
                <c:pt idx="0">
                  <c:v>0</c:v>
                </c:pt>
                <c:pt idx="1">
                  <c:v>2.7380952380952384E-2</c:v>
                </c:pt>
                <c:pt idx="2">
                  <c:v>5.7142857142857141E-2</c:v>
                </c:pt>
                <c:pt idx="3">
                  <c:v>8.9285714285714288E-2</c:v>
                </c:pt>
                <c:pt idx="4">
                  <c:v>0.12380952380952381</c:v>
                </c:pt>
                <c:pt idx="5">
                  <c:v>0.1607142857142857</c:v>
                </c:pt>
                <c:pt idx="6">
                  <c:v>0.2</c:v>
                </c:pt>
                <c:pt idx="7">
                  <c:v>0.24166666666666664</c:v>
                </c:pt>
                <c:pt idx="8">
                  <c:v>0.28571428571428575</c:v>
                </c:pt>
                <c:pt idx="9">
                  <c:v>0.33214285714285718</c:v>
                </c:pt>
                <c:pt idx="10">
                  <c:v>0.38095238095238093</c:v>
                </c:pt>
                <c:pt idx="11">
                  <c:v>0.43214285714285716</c:v>
                </c:pt>
                <c:pt idx="12">
                  <c:v>0.48571428571428571</c:v>
                </c:pt>
                <c:pt idx="13">
                  <c:v>0.54166666666666674</c:v>
                </c:pt>
                <c:pt idx="14">
                  <c:v>0.6</c:v>
                </c:pt>
                <c:pt idx="15">
                  <c:v>0.6607142857142857</c:v>
                </c:pt>
                <c:pt idx="16">
                  <c:v>0.7238095238095239</c:v>
                </c:pt>
                <c:pt idx="17">
                  <c:v>0.78928571428571426</c:v>
                </c:pt>
                <c:pt idx="18">
                  <c:v>0.85714285714285721</c:v>
                </c:pt>
                <c:pt idx="19">
                  <c:v>0.92738095238095231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E73-408A-BC91-2B9C4C993EB4}"/>
            </c:ext>
          </c:extLst>
        </c:ser>
        <c:ser>
          <c:idx val="8"/>
          <c:order val="8"/>
          <c:tx>
            <c:strRef>
              <c:f>Sheet2!$BC$28</c:f>
              <c:strCache>
                <c:ptCount val="1"/>
                <c:pt idx="0">
                  <c:v>hh 8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Sheet2!$AT$29:$AT$49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Sheet2!$BC$29:$BC$49</c:f>
              <c:numCache>
                <c:formatCode>General</c:formatCode>
                <c:ptCount val="21"/>
                <c:pt idx="0">
                  <c:v>0</c:v>
                </c:pt>
                <c:pt idx="1">
                  <c:v>2.4553571428571432E-2</c:v>
                </c:pt>
                <c:pt idx="2">
                  <c:v>5.1785714285714282E-2</c:v>
                </c:pt>
                <c:pt idx="3">
                  <c:v>8.1696428571428573E-2</c:v>
                </c:pt>
                <c:pt idx="4">
                  <c:v>0.11428571428571428</c:v>
                </c:pt>
                <c:pt idx="5">
                  <c:v>0.14955357142857142</c:v>
                </c:pt>
                <c:pt idx="6">
                  <c:v>0.1875</c:v>
                </c:pt>
                <c:pt idx="7">
                  <c:v>0.22812499999999999</c:v>
                </c:pt>
                <c:pt idx="8">
                  <c:v>0.27142857142857146</c:v>
                </c:pt>
                <c:pt idx="9">
                  <c:v>0.31741071428571427</c:v>
                </c:pt>
                <c:pt idx="10">
                  <c:v>0.3660714285714286</c:v>
                </c:pt>
                <c:pt idx="11">
                  <c:v>0.4174107142857143</c:v>
                </c:pt>
                <c:pt idx="12">
                  <c:v>0.47142857142857142</c:v>
                </c:pt>
                <c:pt idx="13">
                  <c:v>0.52812500000000007</c:v>
                </c:pt>
                <c:pt idx="14">
                  <c:v>0.58750000000000002</c:v>
                </c:pt>
                <c:pt idx="15">
                  <c:v>0.6495535714285714</c:v>
                </c:pt>
                <c:pt idx="16">
                  <c:v>0.71428571428571441</c:v>
                </c:pt>
                <c:pt idx="17">
                  <c:v>0.78169642857142851</c:v>
                </c:pt>
                <c:pt idx="18">
                  <c:v>0.85178571428571426</c:v>
                </c:pt>
                <c:pt idx="19">
                  <c:v>0.92455357142857142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E73-408A-BC91-2B9C4C993EB4}"/>
            </c:ext>
          </c:extLst>
        </c:ser>
        <c:ser>
          <c:idx val="9"/>
          <c:order val="9"/>
          <c:tx>
            <c:strRef>
              <c:f>Sheet2!$BD$28</c:f>
              <c:strCache>
                <c:ptCount val="1"/>
                <c:pt idx="0">
                  <c:v>hh 7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Sheet2!$AT$29:$AT$49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Sheet2!$BD$29:$BD$49</c:f>
              <c:numCache>
                <c:formatCode>General</c:formatCode>
                <c:ptCount val="21"/>
                <c:pt idx="0">
                  <c:v>0</c:v>
                </c:pt>
                <c:pt idx="1">
                  <c:v>2.0918367346938777E-2</c:v>
                </c:pt>
                <c:pt idx="2">
                  <c:v>4.4897959183673466E-2</c:v>
                </c:pt>
                <c:pt idx="3">
                  <c:v>7.193877551020407E-2</c:v>
                </c:pt>
                <c:pt idx="4">
                  <c:v>0.1020408163265306</c:v>
                </c:pt>
                <c:pt idx="5">
                  <c:v>0.13520408163265307</c:v>
                </c:pt>
                <c:pt idx="6">
                  <c:v>0.17142857142857146</c:v>
                </c:pt>
                <c:pt idx="7">
                  <c:v>0.21071428571428572</c:v>
                </c:pt>
                <c:pt idx="8">
                  <c:v>0.25306122448979596</c:v>
                </c:pt>
                <c:pt idx="9">
                  <c:v>0.29846938775510201</c:v>
                </c:pt>
                <c:pt idx="10">
                  <c:v>0.34693877551020408</c:v>
                </c:pt>
                <c:pt idx="11">
                  <c:v>0.3984693877551021</c:v>
                </c:pt>
                <c:pt idx="12">
                  <c:v>0.45306122448979586</c:v>
                </c:pt>
                <c:pt idx="13">
                  <c:v>0.51071428571428579</c:v>
                </c:pt>
                <c:pt idx="14">
                  <c:v>0.5714285714285714</c:v>
                </c:pt>
                <c:pt idx="15">
                  <c:v>0.63520408163265296</c:v>
                </c:pt>
                <c:pt idx="16">
                  <c:v>0.7020408163265307</c:v>
                </c:pt>
                <c:pt idx="17">
                  <c:v>0.77193877551020407</c:v>
                </c:pt>
                <c:pt idx="18">
                  <c:v>0.8448979591836735</c:v>
                </c:pt>
                <c:pt idx="19">
                  <c:v>0.92091836734693866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E73-408A-BC91-2B9C4C993EB4}"/>
            </c:ext>
          </c:extLst>
        </c:ser>
        <c:ser>
          <c:idx val="10"/>
          <c:order val="10"/>
          <c:tx>
            <c:strRef>
              <c:f>Sheet2!$BE$28</c:f>
              <c:strCache>
                <c:ptCount val="1"/>
                <c:pt idx="0">
                  <c:v>hh 6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Sheet2!$AT$29:$AT$49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Sheet2!$BE$29:$BE$49</c:f>
              <c:numCache>
                <c:formatCode>General</c:formatCode>
                <c:ptCount val="21"/>
                <c:pt idx="0">
                  <c:v>0</c:v>
                </c:pt>
                <c:pt idx="1">
                  <c:v>1.6071428571428577E-2</c:v>
                </c:pt>
                <c:pt idx="2">
                  <c:v>3.5714285714285712E-2</c:v>
                </c:pt>
                <c:pt idx="3">
                  <c:v>5.8928571428571434E-2</c:v>
                </c:pt>
                <c:pt idx="4">
                  <c:v>8.5714285714285701E-2</c:v>
                </c:pt>
                <c:pt idx="5">
                  <c:v>0.11607142857142858</c:v>
                </c:pt>
                <c:pt idx="6">
                  <c:v>0.15</c:v>
                </c:pt>
                <c:pt idx="7">
                  <c:v>0.18750000000000003</c:v>
                </c:pt>
                <c:pt idx="8">
                  <c:v>0.22857142857142856</c:v>
                </c:pt>
                <c:pt idx="9">
                  <c:v>0.27321428571428574</c:v>
                </c:pt>
                <c:pt idx="10">
                  <c:v>0.3214285714285714</c:v>
                </c:pt>
                <c:pt idx="11">
                  <c:v>0.37321428571428578</c:v>
                </c:pt>
                <c:pt idx="12">
                  <c:v>0.42857142857142849</c:v>
                </c:pt>
                <c:pt idx="13">
                  <c:v>0.48750000000000004</c:v>
                </c:pt>
                <c:pt idx="14">
                  <c:v>0.54999999999999993</c:v>
                </c:pt>
                <c:pt idx="15">
                  <c:v>0.6160714285714286</c:v>
                </c:pt>
                <c:pt idx="16">
                  <c:v>0.68571428571428583</c:v>
                </c:pt>
                <c:pt idx="17">
                  <c:v>0.7589285714285714</c:v>
                </c:pt>
                <c:pt idx="18">
                  <c:v>0.83571428571428574</c:v>
                </c:pt>
                <c:pt idx="19">
                  <c:v>0.91607142857142854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E73-408A-BC91-2B9C4C993EB4}"/>
            </c:ext>
          </c:extLst>
        </c:ser>
        <c:ser>
          <c:idx val="11"/>
          <c:order val="11"/>
          <c:tx>
            <c:strRef>
              <c:f>Sheet2!$BF$28</c:f>
              <c:strCache>
                <c:ptCount val="1"/>
                <c:pt idx="0">
                  <c:v>hh 5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Sheet2!$AT$29:$AT$49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Sheet2!$BF$29:$BF$49</c:f>
              <c:numCache>
                <c:formatCode>General</c:formatCode>
                <c:ptCount val="21"/>
                <c:pt idx="0">
                  <c:v>0</c:v>
                </c:pt>
                <c:pt idx="1">
                  <c:v>9.285714285714286E-3</c:v>
                </c:pt>
                <c:pt idx="2">
                  <c:v>2.2857142857142854E-2</c:v>
                </c:pt>
                <c:pt idx="3">
                  <c:v>4.0714285714285717E-2</c:v>
                </c:pt>
                <c:pt idx="4">
                  <c:v>6.2857142857142861E-2</c:v>
                </c:pt>
                <c:pt idx="5">
                  <c:v>8.9285714285714274E-2</c:v>
                </c:pt>
                <c:pt idx="6">
                  <c:v>0.12000000000000004</c:v>
                </c:pt>
                <c:pt idx="7">
                  <c:v>0.15499999999999997</c:v>
                </c:pt>
                <c:pt idx="8">
                  <c:v>0.19428571428571431</c:v>
                </c:pt>
                <c:pt idx="9">
                  <c:v>0.23785714285714288</c:v>
                </c:pt>
                <c:pt idx="10">
                  <c:v>0.2857142857142857</c:v>
                </c:pt>
                <c:pt idx="11">
                  <c:v>0.33785714285714291</c:v>
                </c:pt>
                <c:pt idx="12">
                  <c:v>0.39428571428571429</c:v>
                </c:pt>
                <c:pt idx="13">
                  <c:v>0.45500000000000007</c:v>
                </c:pt>
                <c:pt idx="14">
                  <c:v>0.52</c:v>
                </c:pt>
                <c:pt idx="15">
                  <c:v>0.5892857142857143</c:v>
                </c:pt>
                <c:pt idx="16">
                  <c:v>0.66285714285714292</c:v>
                </c:pt>
                <c:pt idx="17">
                  <c:v>0.74071428571428566</c:v>
                </c:pt>
                <c:pt idx="18">
                  <c:v>0.82285714285714295</c:v>
                </c:pt>
                <c:pt idx="19">
                  <c:v>0.90928571428571414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6E73-408A-BC91-2B9C4C993EB4}"/>
            </c:ext>
          </c:extLst>
        </c:ser>
        <c:ser>
          <c:idx val="12"/>
          <c:order val="12"/>
          <c:tx>
            <c:strRef>
              <c:f>Sheet2!$BG$28</c:f>
              <c:strCache>
                <c:ptCount val="1"/>
                <c:pt idx="0">
                  <c:v>hh 4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Sheet2!$AT$29:$AT$49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Sheet2!$BG$29:$BG$49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3.57142857142857E-3</c:v>
                </c:pt>
                <c:pt idx="3">
                  <c:v>1.3392857142857146E-2</c:v>
                </c:pt>
                <c:pt idx="4">
                  <c:v>2.857142857142856E-2</c:v>
                </c:pt>
                <c:pt idx="5">
                  <c:v>4.9107142857142849E-2</c:v>
                </c:pt>
                <c:pt idx="6">
                  <c:v>7.5000000000000025E-2</c:v>
                </c:pt>
                <c:pt idx="7">
                  <c:v>0.10625000000000001</c:v>
                </c:pt>
                <c:pt idx="8">
                  <c:v>0.14285714285714288</c:v>
                </c:pt>
                <c:pt idx="9">
                  <c:v>0.18482142857142858</c:v>
                </c:pt>
                <c:pt idx="10">
                  <c:v>0.23214285714285715</c:v>
                </c:pt>
                <c:pt idx="11">
                  <c:v>0.28482142857142861</c:v>
                </c:pt>
                <c:pt idx="12">
                  <c:v>0.3428571428571428</c:v>
                </c:pt>
                <c:pt idx="13">
                  <c:v>0.40625</c:v>
                </c:pt>
                <c:pt idx="14">
                  <c:v>0.47499999999999998</c:v>
                </c:pt>
                <c:pt idx="15">
                  <c:v>0.5491071428571429</c:v>
                </c:pt>
                <c:pt idx="16">
                  <c:v>0.62857142857142867</c:v>
                </c:pt>
                <c:pt idx="17">
                  <c:v>0.71339285714285716</c:v>
                </c:pt>
                <c:pt idx="18">
                  <c:v>0.8035714285714286</c:v>
                </c:pt>
                <c:pt idx="19">
                  <c:v>0.89910714285714277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6E73-408A-BC91-2B9C4C993EB4}"/>
            </c:ext>
          </c:extLst>
        </c:ser>
        <c:ser>
          <c:idx val="13"/>
          <c:order val="13"/>
          <c:tx>
            <c:strRef>
              <c:f>Sheet2!$BH$28</c:f>
              <c:strCache>
                <c:ptCount val="1"/>
                <c:pt idx="0">
                  <c:v>hh 3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Sheet2!$AT$29:$AT$49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Sheet2!$BH$29:$BH$49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2.5000000000000026E-2</c:v>
                </c:pt>
                <c:pt idx="8">
                  <c:v>5.7142857142857162E-2</c:v>
                </c:pt>
                <c:pt idx="9">
                  <c:v>9.6428571428571433E-2</c:v>
                </c:pt>
                <c:pt idx="10">
                  <c:v>0.14285714285714285</c:v>
                </c:pt>
                <c:pt idx="11">
                  <c:v>0.19642857142857148</c:v>
                </c:pt>
                <c:pt idx="12">
                  <c:v>0.25714285714285706</c:v>
                </c:pt>
                <c:pt idx="13">
                  <c:v>0.32500000000000001</c:v>
                </c:pt>
                <c:pt idx="14">
                  <c:v>0.39999999999999997</c:v>
                </c:pt>
                <c:pt idx="15">
                  <c:v>0.4821428571428571</c:v>
                </c:pt>
                <c:pt idx="16">
                  <c:v>0.57142857142857151</c:v>
                </c:pt>
                <c:pt idx="17">
                  <c:v>0.66785714285714282</c:v>
                </c:pt>
                <c:pt idx="18">
                  <c:v>0.77142857142857146</c:v>
                </c:pt>
                <c:pt idx="19">
                  <c:v>0.88214285714285701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6E73-408A-BC91-2B9C4C993EB4}"/>
            </c:ext>
          </c:extLst>
        </c:ser>
        <c:ser>
          <c:idx val="14"/>
          <c:order val="14"/>
          <c:tx>
            <c:strRef>
              <c:f>Sheet2!$BI$28</c:f>
              <c:strCache>
                <c:ptCount val="1"/>
                <c:pt idx="0">
                  <c:v>hh 2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Sheet2!$AT$29:$AT$49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Sheet2!$BI$29:$BI$49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1.9642857142857198E-2</c:v>
                </c:pt>
                <c:pt idx="12">
                  <c:v>8.5714285714285673E-2</c:v>
                </c:pt>
                <c:pt idx="13">
                  <c:v>0.16250000000000009</c:v>
                </c:pt>
                <c:pt idx="14">
                  <c:v>0.24999999999999994</c:v>
                </c:pt>
                <c:pt idx="15">
                  <c:v>0.3482142857142857</c:v>
                </c:pt>
                <c:pt idx="16">
                  <c:v>0.4571428571428573</c:v>
                </c:pt>
                <c:pt idx="17">
                  <c:v>0.57678571428571435</c:v>
                </c:pt>
                <c:pt idx="18">
                  <c:v>0.7071428571428573</c:v>
                </c:pt>
                <c:pt idx="19">
                  <c:v>0.84821428571428559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6E73-408A-BC91-2B9C4C993EB4}"/>
            </c:ext>
          </c:extLst>
        </c:ser>
        <c:ser>
          <c:idx val="15"/>
          <c:order val="15"/>
          <c:tx>
            <c:strRef>
              <c:f>Sheet2!$BJ$28</c:f>
              <c:strCache>
                <c:ptCount val="1"/>
                <c:pt idx="0">
                  <c:v>hh 1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Sheet2!$AT$29:$AT$49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Sheet2!$BJ$29:$BJ$49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0.1142857142857145</c:v>
                </c:pt>
                <c:pt idx="17">
                  <c:v>0.30357142857142855</c:v>
                </c:pt>
                <c:pt idx="18">
                  <c:v>0.51428571428571446</c:v>
                </c:pt>
                <c:pt idx="19">
                  <c:v>0.74642857142857122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6E73-408A-BC91-2B9C4C993EB4}"/>
            </c:ext>
          </c:extLst>
        </c:ser>
        <c:ser>
          <c:idx val="16"/>
          <c:order val="16"/>
          <c:tx>
            <c:strRef>
              <c:f>Sheet2!$BK$28</c:f>
              <c:strCache>
                <c:ptCount val="1"/>
                <c:pt idx="0">
                  <c:v>hh 0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Sheet2!$AT$29:$AT$49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Sheet2!$BK$29:$BK$49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6E73-408A-BC91-2B9C4C993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5222255"/>
        <c:axId val="1685223215"/>
      </c:scatterChart>
      <c:valAx>
        <c:axId val="1685222255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Normalize cost of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223215"/>
        <c:crosses val="autoZero"/>
        <c:crossBetween val="midCat"/>
      </c:valAx>
      <c:valAx>
        <c:axId val="168522321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Reward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222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SOC penality w.r. t to user defined weight [Expected SOC and DC time]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Sheet2!$AA$28</c:f>
              <c:strCache>
                <c:ptCount val="1"/>
                <c:pt idx="0">
                  <c:v>hh 16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Sheet2!$Y$29:$Y$49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Sheet2!$AA$29:$AA$49</c:f>
              <c:numCache>
                <c:formatCode>General</c:formatCode>
                <c:ptCount val="21"/>
                <c:pt idx="0">
                  <c:v>-0.26785714285714285</c:v>
                </c:pt>
                <c:pt idx="1">
                  <c:v>-0.2417410714285714</c:v>
                </c:pt>
                <c:pt idx="2">
                  <c:v>-0.21696428571428572</c:v>
                </c:pt>
                <c:pt idx="3">
                  <c:v>-0.19352678571428569</c:v>
                </c:pt>
                <c:pt idx="4">
                  <c:v>-0.17142857142857146</c:v>
                </c:pt>
                <c:pt idx="5">
                  <c:v>-0.15066964285714285</c:v>
                </c:pt>
                <c:pt idx="6">
                  <c:v>-0.13124999999999998</c:v>
                </c:pt>
                <c:pt idx="7">
                  <c:v>-0.11316964285714286</c:v>
                </c:pt>
                <c:pt idx="8">
                  <c:v>-9.6428571428571419E-2</c:v>
                </c:pt>
                <c:pt idx="9">
                  <c:v>-8.1026785714285718E-2</c:v>
                </c:pt>
                <c:pt idx="10">
                  <c:v>-6.6964285714285712E-2</c:v>
                </c:pt>
                <c:pt idx="11">
                  <c:v>-5.4241071428571416E-2</c:v>
                </c:pt>
                <c:pt idx="12">
                  <c:v>-4.2857142857142864E-2</c:v>
                </c:pt>
                <c:pt idx="13">
                  <c:v>-3.2812499999999994E-2</c:v>
                </c:pt>
                <c:pt idx="14">
                  <c:v>-2.4107142857142862E-2</c:v>
                </c:pt>
                <c:pt idx="15">
                  <c:v>-1.6741071428571428E-2</c:v>
                </c:pt>
                <c:pt idx="16">
                  <c:v>-1.0714285714285709E-2</c:v>
                </c:pt>
                <c:pt idx="17">
                  <c:v>-6.0267857142857154E-3</c:v>
                </c:pt>
                <c:pt idx="18">
                  <c:v>-2.6785714285714273E-3</c:v>
                </c:pt>
                <c:pt idx="19">
                  <c:v>-6.6964285714285834E-4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F0-4A48-9BA3-68E4F349202F}"/>
            </c:ext>
          </c:extLst>
        </c:ser>
        <c:ser>
          <c:idx val="1"/>
          <c:order val="1"/>
          <c:tx>
            <c:strRef>
              <c:f>Sheet2!$AB$28</c:f>
              <c:strCache>
                <c:ptCount val="1"/>
                <c:pt idx="0">
                  <c:v>hh 15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Sheet2!$Y$29:$Y$49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Sheet2!$AB$29:$AB$49</c:f>
              <c:numCache>
                <c:formatCode>General</c:formatCode>
                <c:ptCount val="21"/>
                <c:pt idx="0">
                  <c:v>-0.2857142857142857</c:v>
                </c:pt>
                <c:pt idx="1">
                  <c:v>-0.25785714285714284</c:v>
                </c:pt>
                <c:pt idx="2">
                  <c:v>-0.23142857142857146</c:v>
                </c:pt>
                <c:pt idx="3">
                  <c:v>-0.20642857142857143</c:v>
                </c:pt>
                <c:pt idx="4">
                  <c:v>-0.18285714285714288</c:v>
                </c:pt>
                <c:pt idx="5">
                  <c:v>-0.16071428571428573</c:v>
                </c:pt>
                <c:pt idx="6">
                  <c:v>-0.13999999999999999</c:v>
                </c:pt>
                <c:pt idx="7">
                  <c:v>-0.1207142857142857</c:v>
                </c:pt>
                <c:pt idx="8">
                  <c:v>-0.10285714285714284</c:v>
                </c:pt>
                <c:pt idx="9">
                  <c:v>-8.6428571428571438E-2</c:v>
                </c:pt>
                <c:pt idx="10">
                  <c:v>-7.1428571428571425E-2</c:v>
                </c:pt>
                <c:pt idx="11">
                  <c:v>-5.7857142857142843E-2</c:v>
                </c:pt>
                <c:pt idx="12">
                  <c:v>-4.5714285714285721E-2</c:v>
                </c:pt>
                <c:pt idx="13">
                  <c:v>-3.4999999999999996E-2</c:v>
                </c:pt>
                <c:pt idx="14">
                  <c:v>-2.5714285714285717E-2</c:v>
                </c:pt>
                <c:pt idx="15">
                  <c:v>-1.7857142857142856E-2</c:v>
                </c:pt>
                <c:pt idx="16">
                  <c:v>-1.1428571428571423E-2</c:v>
                </c:pt>
                <c:pt idx="17">
                  <c:v>-6.4285714285714293E-3</c:v>
                </c:pt>
                <c:pt idx="18">
                  <c:v>-2.8571428571428558E-3</c:v>
                </c:pt>
                <c:pt idx="19">
                  <c:v>-7.1428571428571548E-4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F0-4A48-9BA3-68E4F349202F}"/>
            </c:ext>
          </c:extLst>
        </c:ser>
        <c:ser>
          <c:idx val="2"/>
          <c:order val="2"/>
          <c:tx>
            <c:strRef>
              <c:f>Sheet2!$AC$28</c:f>
              <c:strCache>
                <c:ptCount val="1"/>
                <c:pt idx="0">
                  <c:v>hh 14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Sheet2!$Y$29:$Y$49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Sheet2!$AC$29:$AC$49</c:f>
              <c:numCache>
                <c:formatCode>General</c:formatCode>
                <c:ptCount val="21"/>
                <c:pt idx="0">
                  <c:v>-0.30612244897959184</c:v>
                </c:pt>
                <c:pt idx="1">
                  <c:v>-0.27627551020408159</c:v>
                </c:pt>
                <c:pt idx="2">
                  <c:v>-0.24795918367346942</c:v>
                </c:pt>
                <c:pt idx="3">
                  <c:v>-0.22117346938775512</c:v>
                </c:pt>
                <c:pt idx="4">
                  <c:v>-0.19591836734693879</c:v>
                </c:pt>
                <c:pt idx="5">
                  <c:v>-0.17219387755102042</c:v>
                </c:pt>
                <c:pt idx="6">
                  <c:v>-0.14999999999999997</c:v>
                </c:pt>
                <c:pt idx="7">
                  <c:v>-0.12933673469387755</c:v>
                </c:pt>
                <c:pt idx="8">
                  <c:v>-0.11020408163265305</c:v>
                </c:pt>
                <c:pt idx="9">
                  <c:v>-9.2602040816326531E-2</c:v>
                </c:pt>
                <c:pt idx="10">
                  <c:v>-7.6530612244897961E-2</c:v>
                </c:pt>
                <c:pt idx="11">
                  <c:v>-6.1989795918367334E-2</c:v>
                </c:pt>
                <c:pt idx="12">
                  <c:v>-4.8979591836734698E-2</c:v>
                </c:pt>
                <c:pt idx="13">
                  <c:v>-3.7499999999999992E-2</c:v>
                </c:pt>
                <c:pt idx="14">
                  <c:v>-2.755102040816327E-2</c:v>
                </c:pt>
                <c:pt idx="15">
                  <c:v>-1.913265306122449E-2</c:v>
                </c:pt>
                <c:pt idx="16">
                  <c:v>-1.2244897959183666E-2</c:v>
                </c:pt>
                <c:pt idx="17">
                  <c:v>-6.8877551020408174E-3</c:v>
                </c:pt>
                <c:pt idx="18">
                  <c:v>-3.0612244897959165E-3</c:v>
                </c:pt>
                <c:pt idx="19">
                  <c:v>-7.6530612244898096E-4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F0-4A48-9BA3-68E4F349202F}"/>
            </c:ext>
          </c:extLst>
        </c:ser>
        <c:ser>
          <c:idx val="3"/>
          <c:order val="3"/>
          <c:tx>
            <c:strRef>
              <c:f>Sheet2!$AD$28</c:f>
              <c:strCache>
                <c:ptCount val="1"/>
                <c:pt idx="0">
                  <c:v>hh 13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Sheet2!$Y$29:$Y$49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Sheet2!$AD$29:$AD$49</c:f>
              <c:numCache>
                <c:formatCode>General</c:formatCode>
                <c:ptCount val="21"/>
                <c:pt idx="0">
                  <c:v>-0.32967032967032966</c:v>
                </c:pt>
                <c:pt idx="1">
                  <c:v>-0.29752747252747253</c:v>
                </c:pt>
                <c:pt idx="2">
                  <c:v>-0.26703296703296703</c:v>
                </c:pt>
                <c:pt idx="3">
                  <c:v>-0.23818681318681317</c:v>
                </c:pt>
                <c:pt idx="4">
                  <c:v>-0.21098901098901102</c:v>
                </c:pt>
                <c:pt idx="5">
                  <c:v>-0.18543956043956045</c:v>
                </c:pt>
                <c:pt idx="6">
                  <c:v>-0.16153846153846149</c:v>
                </c:pt>
                <c:pt idx="7">
                  <c:v>-0.13928571428571429</c:v>
                </c:pt>
                <c:pt idx="8">
                  <c:v>-0.11868131868131868</c:v>
                </c:pt>
                <c:pt idx="9">
                  <c:v>-9.9725274725274732E-2</c:v>
                </c:pt>
                <c:pt idx="10">
                  <c:v>-8.2417582417582416E-2</c:v>
                </c:pt>
                <c:pt idx="11">
                  <c:v>-6.6758241758241743E-2</c:v>
                </c:pt>
                <c:pt idx="12">
                  <c:v>-5.2747252747252754E-2</c:v>
                </c:pt>
                <c:pt idx="13">
                  <c:v>-4.0384615384615373E-2</c:v>
                </c:pt>
                <c:pt idx="14">
                  <c:v>-2.9670329670329676E-2</c:v>
                </c:pt>
                <c:pt idx="15">
                  <c:v>-2.0604395604395604E-2</c:v>
                </c:pt>
                <c:pt idx="16">
                  <c:v>-1.3186813186813178E-2</c:v>
                </c:pt>
                <c:pt idx="17">
                  <c:v>-7.417582417582419E-3</c:v>
                </c:pt>
                <c:pt idx="18">
                  <c:v>-3.2967032967032945E-3</c:v>
                </c:pt>
                <c:pt idx="19">
                  <c:v>-8.2417582417582558E-4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F0-4A48-9BA3-68E4F349202F}"/>
            </c:ext>
          </c:extLst>
        </c:ser>
        <c:ser>
          <c:idx val="4"/>
          <c:order val="4"/>
          <c:tx>
            <c:strRef>
              <c:f>Sheet2!$AE$28</c:f>
              <c:strCache>
                <c:ptCount val="1"/>
                <c:pt idx="0">
                  <c:v>hh 12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Sheet2!$Y$29:$Y$49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Sheet2!$AE$29:$AE$49</c:f>
              <c:numCache>
                <c:formatCode>General</c:formatCode>
                <c:ptCount val="21"/>
                <c:pt idx="0">
                  <c:v>-0.35714285714285715</c:v>
                </c:pt>
                <c:pt idx="1">
                  <c:v>-0.32232142857142854</c:v>
                </c:pt>
                <c:pt idx="2">
                  <c:v>-0.28928571428571431</c:v>
                </c:pt>
                <c:pt idx="3">
                  <c:v>-0.25803571428571426</c:v>
                </c:pt>
                <c:pt idx="4">
                  <c:v>-0.22857142857142862</c:v>
                </c:pt>
                <c:pt idx="5">
                  <c:v>-0.20089285714285715</c:v>
                </c:pt>
                <c:pt idx="6">
                  <c:v>-0.17499999999999996</c:v>
                </c:pt>
                <c:pt idx="7">
                  <c:v>-0.15089285714285713</c:v>
                </c:pt>
                <c:pt idx="8">
                  <c:v>-0.12857142857142856</c:v>
                </c:pt>
                <c:pt idx="9">
                  <c:v>-0.10803571428571429</c:v>
                </c:pt>
                <c:pt idx="10">
                  <c:v>-8.9285714285714288E-2</c:v>
                </c:pt>
                <c:pt idx="11">
                  <c:v>-7.232142857142855E-2</c:v>
                </c:pt>
                <c:pt idx="12">
                  <c:v>-5.7142857142857155E-2</c:v>
                </c:pt>
                <c:pt idx="13">
                  <c:v>-4.374999999999999E-2</c:v>
                </c:pt>
                <c:pt idx="14">
                  <c:v>-3.2142857142857147E-2</c:v>
                </c:pt>
                <c:pt idx="15">
                  <c:v>-2.2321428571428572E-2</c:v>
                </c:pt>
                <c:pt idx="16">
                  <c:v>-1.4285714285714278E-2</c:v>
                </c:pt>
                <c:pt idx="17">
                  <c:v>-8.0357142857142867E-3</c:v>
                </c:pt>
                <c:pt idx="18">
                  <c:v>-3.5714285714285696E-3</c:v>
                </c:pt>
                <c:pt idx="19">
                  <c:v>-8.9285714285714446E-4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EF0-4A48-9BA3-68E4F349202F}"/>
            </c:ext>
          </c:extLst>
        </c:ser>
        <c:ser>
          <c:idx val="5"/>
          <c:order val="5"/>
          <c:tx>
            <c:strRef>
              <c:f>Sheet2!$AF$28</c:f>
              <c:strCache>
                <c:ptCount val="1"/>
                <c:pt idx="0">
                  <c:v>hh 11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Sheet2!$Y$29:$Y$49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Sheet2!$AF$29:$AF$49</c:f>
              <c:numCache>
                <c:formatCode>General</c:formatCode>
                <c:ptCount val="21"/>
                <c:pt idx="0">
                  <c:v>-0.38961038961038957</c:v>
                </c:pt>
                <c:pt idx="1">
                  <c:v>-0.35162337662337656</c:v>
                </c:pt>
                <c:pt idx="2">
                  <c:v>-0.31558441558441558</c:v>
                </c:pt>
                <c:pt idx="3">
                  <c:v>-0.28149350649350646</c:v>
                </c:pt>
                <c:pt idx="4">
                  <c:v>-0.24935064935064941</c:v>
                </c:pt>
                <c:pt idx="5">
                  <c:v>-0.21915584415584416</c:v>
                </c:pt>
                <c:pt idx="6">
                  <c:v>-0.19090909090909089</c:v>
                </c:pt>
                <c:pt idx="7">
                  <c:v>-0.1646103896103896</c:v>
                </c:pt>
                <c:pt idx="8">
                  <c:v>-0.14025974025974022</c:v>
                </c:pt>
                <c:pt idx="9">
                  <c:v>-0.11785714285714287</c:v>
                </c:pt>
                <c:pt idx="10">
                  <c:v>-9.7402597402597393E-2</c:v>
                </c:pt>
                <c:pt idx="11">
                  <c:v>-7.8896103896103881E-2</c:v>
                </c:pt>
                <c:pt idx="12">
                  <c:v>-6.2337662337662351E-2</c:v>
                </c:pt>
                <c:pt idx="13">
                  <c:v>-4.7727272727272722E-2</c:v>
                </c:pt>
                <c:pt idx="14">
                  <c:v>-3.5064935064935077E-2</c:v>
                </c:pt>
                <c:pt idx="15">
                  <c:v>-2.4350649350649348E-2</c:v>
                </c:pt>
                <c:pt idx="16">
                  <c:v>-1.5584415584415576E-2</c:v>
                </c:pt>
                <c:pt idx="17">
                  <c:v>-8.7662337662337692E-3</c:v>
                </c:pt>
                <c:pt idx="18">
                  <c:v>-3.8961038961038939E-3</c:v>
                </c:pt>
                <c:pt idx="19">
                  <c:v>-9.7402597402597576E-4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EF0-4A48-9BA3-68E4F349202F}"/>
            </c:ext>
          </c:extLst>
        </c:ser>
        <c:ser>
          <c:idx val="6"/>
          <c:order val="6"/>
          <c:tx>
            <c:strRef>
              <c:f>Sheet2!$AG$28</c:f>
              <c:strCache>
                <c:ptCount val="1"/>
                <c:pt idx="0">
                  <c:v>hh 10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Sheet2!$Y$29:$Y$49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Sheet2!$AG$29:$AG$49</c:f>
              <c:numCache>
                <c:formatCode>General</c:formatCode>
                <c:ptCount val="21"/>
                <c:pt idx="0">
                  <c:v>-0.42857142857142855</c:v>
                </c:pt>
                <c:pt idx="1">
                  <c:v>-0.38678571428571429</c:v>
                </c:pt>
                <c:pt idx="2">
                  <c:v>-0.34714285714285714</c:v>
                </c:pt>
                <c:pt idx="3">
                  <c:v>-0.30964285714285711</c:v>
                </c:pt>
                <c:pt idx="4">
                  <c:v>-0.2742857142857143</c:v>
                </c:pt>
                <c:pt idx="5">
                  <c:v>-0.2410714285714286</c:v>
                </c:pt>
                <c:pt idx="6">
                  <c:v>-0.20999999999999994</c:v>
                </c:pt>
                <c:pt idx="7">
                  <c:v>-0.18107142857142858</c:v>
                </c:pt>
                <c:pt idx="8">
                  <c:v>-0.15428571428571428</c:v>
                </c:pt>
                <c:pt idx="9">
                  <c:v>-0.12964285714285714</c:v>
                </c:pt>
                <c:pt idx="10">
                  <c:v>-0.10714285714285714</c:v>
                </c:pt>
                <c:pt idx="11">
                  <c:v>-8.6785714285714272E-2</c:v>
                </c:pt>
                <c:pt idx="12">
                  <c:v>-6.8571428571428575E-2</c:v>
                </c:pt>
                <c:pt idx="13">
                  <c:v>-5.2499999999999984E-2</c:v>
                </c:pt>
                <c:pt idx="14">
                  <c:v>-3.8571428571428583E-2</c:v>
                </c:pt>
                <c:pt idx="15">
                  <c:v>-2.6785714285714284E-2</c:v>
                </c:pt>
                <c:pt idx="16">
                  <c:v>-1.7142857142857133E-2</c:v>
                </c:pt>
                <c:pt idx="17">
                  <c:v>-9.6428571428571457E-3</c:v>
                </c:pt>
                <c:pt idx="18">
                  <c:v>-4.2857142857142833E-3</c:v>
                </c:pt>
                <c:pt idx="19">
                  <c:v>-1.0714285714285732E-3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EF0-4A48-9BA3-68E4F349202F}"/>
            </c:ext>
          </c:extLst>
        </c:ser>
        <c:ser>
          <c:idx val="7"/>
          <c:order val="7"/>
          <c:tx>
            <c:strRef>
              <c:f>Sheet2!$AH$28</c:f>
              <c:strCache>
                <c:ptCount val="1"/>
                <c:pt idx="0">
                  <c:v>hh 9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Sheet2!$Y$29:$Y$49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Sheet2!$AH$29:$AH$49</c:f>
              <c:numCache>
                <c:formatCode>General</c:formatCode>
                <c:ptCount val="21"/>
                <c:pt idx="0">
                  <c:v>-0.47619047619047616</c:v>
                </c:pt>
                <c:pt idx="1">
                  <c:v>-0.42976190476190468</c:v>
                </c:pt>
                <c:pt idx="2">
                  <c:v>-0.38571428571428573</c:v>
                </c:pt>
                <c:pt idx="3">
                  <c:v>-0.34404761904761905</c:v>
                </c:pt>
                <c:pt idx="4">
                  <c:v>-0.30476190476190479</c:v>
                </c:pt>
                <c:pt idx="5">
                  <c:v>-0.26785714285714285</c:v>
                </c:pt>
                <c:pt idx="6">
                  <c:v>-0.23333333333333325</c:v>
                </c:pt>
                <c:pt idx="7">
                  <c:v>-0.2011904761904762</c:v>
                </c:pt>
                <c:pt idx="8">
                  <c:v>-0.1714285714285714</c:v>
                </c:pt>
                <c:pt idx="9">
                  <c:v>-0.14404761904761906</c:v>
                </c:pt>
                <c:pt idx="10">
                  <c:v>-0.11904761904761904</c:v>
                </c:pt>
                <c:pt idx="11">
                  <c:v>-9.6428571428571419E-2</c:v>
                </c:pt>
                <c:pt idx="12">
                  <c:v>-7.6190476190476197E-2</c:v>
                </c:pt>
                <c:pt idx="13">
                  <c:v>-5.8333333333333313E-2</c:v>
                </c:pt>
                <c:pt idx="14">
                  <c:v>-4.2857142857142871E-2</c:v>
                </c:pt>
                <c:pt idx="15">
                  <c:v>-2.976190476190476E-2</c:v>
                </c:pt>
                <c:pt idx="16">
                  <c:v>-1.9047619047619035E-2</c:v>
                </c:pt>
                <c:pt idx="17">
                  <c:v>-1.0714285714285718E-2</c:v>
                </c:pt>
                <c:pt idx="18">
                  <c:v>-4.7619047619047589E-3</c:v>
                </c:pt>
                <c:pt idx="19">
                  <c:v>-1.1904761904761925E-3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EF0-4A48-9BA3-68E4F349202F}"/>
            </c:ext>
          </c:extLst>
        </c:ser>
        <c:ser>
          <c:idx val="8"/>
          <c:order val="8"/>
          <c:tx>
            <c:strRef>
              <c:f>Sheet2!$AI$28</c:f>
              <c:strCache>
                <c:ptCount val="1"/>
                <c:pt idx="0">
                  <c:v>hh 8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Sheet2!$Y$29:$Y$49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Sheet2!$AI$29:$AI$49</c:f>
              <c:numCache>
                <c:formatCode>General</c:formatCode>
                <c:ptCount val="21"/>
                <c:pt idx="0">
                  <c:v>-0.5357142857142857</c:v>
                </c:pt>
                <c:pt idx="1">
                  <c:v>-0.4834821428571428</c:v>
                </c:pt>
                <c:pt idx="2">
                  <c:v>-0.43392857142857144</c:v>
                </c:pt>
                <c:pt idx="3">
                  <c:v>-0.38705357142857139</c:v>
                </c:pt>
                <c:pt idx="4">
                  <c:v>-0.34285714285714292</c:v>
                </c:pt>
                <c:pt idx="5">
                  <c:v>-0.3013392857142857</c:v>
                </c:pt>
                <c:pt idx="6">
                  <c:v>-0.26249999999999996</c:v>
                </c:pt>
                <c:pt idx="7">
                  <c:v>-0.22633928571428572</c:v>
                </c:pt>
                <c:pt idx="8">
                  <c:v>-0.19285714285714284</c:v>
                </c:pt>
                <c:pt idx="9">
                  <c:v>-0.16205357142857144</c:v>
                </c:pt>
                <c:pt idx="10">
                  <c:v>-0.13392857142857142</c:v>
                </c:pt>
                <c:pt idx="11">
                  <c:v>-0.10848214285714283</c:v>
                </c:pt>
                <c:pt idx="12">
                  <c:v>-8.5714285714285729E-2</c:v>
                </c:pt>
                <c:pt idx="13">
                  <c:v>-6.5624999999999989E-2</c:v>
                </c:pt>
                <c:pt idx="14">
                  <c:v>-4.8214285714285723E-2</c:v>
                </c:pt>
                <c:pt idx="15">
                  <c:v>-3.3482142857142856E-2</c:v>
                </c:pt>
                <c:pt idx="16">
                  <c:v>-2.1428571428571418E-2</c:v>
                </c:pt>
                <c:pt idx="17">
                  <c:v>-1.2053571428571431E-2</c:v>
                </c:pt>
                <c:pt idx="18">
                  <c:v>-5.3571428571428546E-3</c:v>
                </c:pt>
                <c:pt idx="19">
                  <c:v>-1.3392857142857167E-3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EF0-4A48-9BA3-68E4F349202F}"/>
            </c:ext>
          </c:extLst>
        </c:ser>
        <c:ser>
          <c:idx val="9"/>
          <c:order val="9"/>
          <c:tx>
            <c:strRef>
              <c:f>Sheet2!$AJ$28</c:f>
              <c:strCache>
                <c:ptCount val="1"/>
                <c:pt idx="0">
                  <c:v>hh 7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Sheet2!$Y$29:$Y$49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Sheet2!$AJ$29:$AJ$49</c:f>
              <c:numCache>
                <c:formatCode>General</c:formatCode>
                <c:ptCount val="21"/>
                <c:pt idx="0">
                  <c:v>-0.61224489795918369</c:v>
                </c:pt>
                <c:pt idx="1">
                  <c:v>-0.55255102040816317</c:v>
                </c:pt>
                <c:pt idx="2">
                  <c:v>-0.49591836734693884</c:v>
                </c:pt>
                <c:pt idx="3">
                  <c:v>-0.44234693877551023</c:v>
                </c:pt>
                <c:pt idx="4">
                  <c:v>-0.39183673469387759</c:v>
                </c:pt>
                <c:pt idx="5">
                  <c:v>-0.34438775510204084</c:v>
                </c:pt>
                <c:pt idx="6">
                  <c:v>-0.29999999999999993</c:v>
                </c:pt>
                <c:pt idx="7">
                  <c:v>-0.2586734693877551</c:v>
                </c:pt>
                <c:pt idx="8">
                  <c:v>-0.2204081632653061</c:v>
                </c:pt>
                <c:pt idx="9">
                  <c:v>-0.18520408163265306</c:v>
                </c:pt>
                <c:pt idx="10">
                  <c:v>-0.15306122448979592</c:v>
                </c:pt>
                <c:pt idx="11">
                  <c:v>-0.12397959183673467</c:v>
                </c:pt>
                <c:pt idx="12">
                  <c:v>-9.7959183673469397E-2</c:v>
                </c:pt>
                <c:pt idx="13">
                  <c:v>-7.4999999999999983E-2</c:v>
                </c:pt>
                <c:pt idx="14">
                  <c:v>-5.5102040816326539E-2</c:v>
                </c:pt>
                <c:pt idx="15">
                  <c:v>-3.826530612244898E-2</c:v>
                </c:pt>
                <c:pt idx="16">
                  <c:v>-2.4489795918367332E-2</c:v>
                </c:pt>
                <c:pt idx="17">
                  <c:v>-1.3775510204081635E-2</c:v>
                </c:pt>
                <c:pt idx="18">
                  <c:v>-6.122448979591833E-3</c:v>
                </c:pt>
                <c:pt idx="19">
                  <c:v>-1.5306122448979619E-3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EF0-4A48-9BA3-68E4F349202F}"/>
            </c:ext>
          </c:extLst>
        </c:ser>
        <c:ser>
          <c:idx val="10"/>
          <c:order val="10"/>
          <c:tx>
            <c:strRef>
              <c:f>Sheet2!$AK$28</c:f>
              <c:strCache>
                <c:ptCount val="1"/>
                <c:pt idx="0">
                  <c:v>hh 6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Sheet2!$Y$29:$Y$49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Sheet2!$AK$29:$AK$49</c:f>
              <c:numCache>
                <c:formatCode>General</c:formatCode>
                <c:ptCount val="21"/>
                <c:pt idx="0">
                  <c:v>-0.7142857142857143</c:v>
                </c:pt>
                <c:pt idx="1">
                  <c:v>-0.64464285714285707</c:v>
                </c:pt>
                <c:pt idx="2">
                  <c:v>-0.57857142857142863</c:v>
                </c:pt>
                <c:pt idx="3">
                  <c:v>-0.51607142857142851</c:v>
                </c:pt>
                <c:pt idx="4">
                  <c:v>-0.45714285714285724</c:v>
                </c:pt>
                <c:pt idx="5">
                  <c:v>-0.4017857142857143</c:v>
                </c:pt>
                <c:pt idx="6">
                  <c:v>-0.34999999999999992</c:v>
                </c:pt>
                <c:pt idx="7">
                  <c:v>-0.30178571428571427</c:v>
                </c:pt>
                <c:pt idx="8">
                  <c:v>-0.25714285714285712</c:v>
                </c:pt>
                <c:pt idx="9">
                  <c:v>-0.21607142857142858</c:v>
                </c:pt>
                <c:pt idx="10">
                  <c:v>-0.17857142857142858</c:v>
                </c:pt>
                <c:pt idx="11">
                  <c:v>-0.1446428571428571</c:v>
                </c:pt>
                <c:pt idx="12">
                  <c:v>-0.11428571428571431</c:v>
                </c:pt>
                <c:pt idx="13">
                  <c:v>-8.7499999999999981E-2</c:v>
                </c:pt>
                <c:pt idx="14">
                  <c:v>-6.4285714285714293E-2</c:v>
                </c:pt>
                <c:pt idx="15">
                  <c:v>-4.4642857142857144E-2</c:v>
                </c:pt>
                <c:pt idx="16">
                  <c:v>-2.8571428571428557E-2</c:v>
                </c:pt>
                <c:pt idx="17">
                  <c:v>-1.6071428571428573E-2</c:v>
                </c:pt>
                <c:pt idx="18">
                  <c:v>-7.1428571428571392E-3</c:v>
                </c:pt>
                <c:pt idx="19">
                  <c:v>-1.7857142857142889E-3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EF0-4A48-9BA3-68E4F349202F}"/>
            </c:ext>
          </c:extLst>
        </c:ser>
        <c:ser>
          <c:idx val="11"/>
          <c:order val="11"/>
          <c:tx>
            <c:strRef>
              <c:f>Sheet2!$AL$28</c:f>
              <c:strCache>
                <c:ptCount val="1"/>
                <c:pt idx="0">
                  <c:v>hh 5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Sheet2!$Y$29:$Y$49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Sheet2!$AL$29:$AL$49</c:f>
              <c:numCache>
                <c:formatCode>General</c:formatCode>
                <c:ptCount val="21"/>
                <c:pt idx="0">
                  <c:v>-0.8571428571428571</c:v>
                </c:pt>
                <c:pt idx="1">
                  <c:v>-0.77357142857142858</c:v>
                </c:pt>
                <c:pt idx="2">
                  <c:v>-0.69428571428571428</c:v>
                </c:pt>
                <c:pt idx="3">
                  <c:v>-0.61928571428571422</c:v>
                </c:pt>
                <c:pt idx="4">
                  <c:v>-0.5485714285714286</c:v>
                </c:pt>
                <c:pt idx="5">
                  <c:v>-0.48214285714285721</c:v>
                </c:pt>
                <c:pt idx="6">
                  <c:v>-0.41999999999999987</c:v>
                </c:pt>
                <c:pt idx="7">
                  <c:v>-0.36214285714285716</c:v>
                </c:pt>
                <c:pt idx="8">
                  <c:v>-0.30857142857142855</c:v>
                </c:pt>
                <c:pt idx="9">
                  <c:v>-0.25928571428571429</c:v>
                </c:pt>
                <c:pt idx="10">
                  <c:v>-0.21428571428571427</c:v>
                </c:pt>
                <c:pt idx="11">
                  <c:v>-0.17357142857142854</c:v>
                </c:pt>
                <c:pt idx="12">
                  <c:v>-0.13714285714285715</c:v>
                </c:pt>
                <c:pt idx="13">
                  <c:v>-0.10499999999999997</c:v>
                </c:pt>
                <c:pt idx="14">
                  <c:v>-7.7142857142857166E-2</c:v>
                </c:pt>
                <c:pt idx="15">
                  <c:v>-5.3571428571428568E-2</c:v>
                </c:pt>
                <c:pt idx="16">
                  <c:v>-3.4285714285714267E-2</c:v>
                </c:pt>
                <c:pt idx="17">
                  <c:v>-1.9285714285714291E-2</c:v>
                </c:pt>
                <c:pt idx="18">
                  <c:v>-8.5714285714285667E-3</c:v>
                </c:pt>
                <c:pt idx="19">
                  <c:v>-2.1428571428571464E-3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EF0-4A48-9BA3-68E4F349202F}"/>
            </c:ext>
          </c:extLst>
        </c:ser>
        <c:ser>
          <c:idx val="12"/>
          <c:order val="12"/>
          <c:tx>
            <c:strRef>
              <c:f>Sheet2!$AM$28</c:f>
              <c:strCache>
                <c:ptCount val="1"/>
                <c:pt idx="0">
                  <c:v>hh 4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Sheet2!$Y$29:$Y$49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Sheet2!$AM$29:$AM$49</c:f>
              <c:numCache>
                <c:formatCode>General</c:formatCode>
                <c:ptCount val="21"/>
                <c:pt idx="0">
                  <c:v>-1</c:v>
                </c:pt>
                <c:pt idx="1">
                  <c:v>-0.95</c:v>
                </c:pt>
                <c:pt idx="2">
                  <c:v>-0.86785714285714288</c:v>
                </c:pt>
                <c:pt idx="3">
                  <c:v>-0.77410714285714277</c:v>
                </c:pt>
                <c:pt idx="4">
                  <c:v>-0.68571428571428583</c:v>
                </c:pt>
                <c:pt idx="5">
                  <c:v>-0.6026785714285714</c:v>
                </c:pt>
                <c:pt idx="6">
                  <c:v>-0.52499999999999991</c:v>
                </c:pt>
                <c:pt idx="7">
                  <c:v>-0.45267857142857143</c:v>
                </c:pt>
                <c:pt idx="8">
                  <c:v>-0.38571428571428568</c:v>
                </c:pt>
                <c:pt idx="9">
                  <c:v>-0.32410714285714287</c:v>
                </c:pt>
                <c:pt idx="10">
                  <c:v>-0.26785714285714285</c:v>
                </c:pt>
                <c:pt idx="11">
                  <c:v>-0.21696428571428567</c:v>
                </c:pt>
                <c:pt idx="12">
                  <c:v>-0.17142857142857146</c:v>
                </c:pt>
                <c:pt idx="13">
                  <c:v>-0.13124999999999998</c:v>
                </c:pt>
                <c:pt idx="14">
                  <c:v>-9.6428571428571447E-2</c:v>
                </c:pt>
                <c:pt idx="15">
                  <c:v>-6.6964285714285712E-2</c:v>
                </c:pt>
                <c:pt idx="16">
                  <c:v>-4.2857142857142837E-2</c:v>
                </c:pt>
                <c:pt idx="17">
                  <c:v>-2.4107142857142862E-2</c:v>
                </c:pt>
                <c:pt idx="18">
                  <c:v>-1.0714285714285709E-2</c:v>
                </c:pt>
                <c:pt idx="19">
                  <c:v>-2.6785714285714334E-3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EF0-4A48-9BA3-68E4F349202F}"/>
            </c:ext>
          </c:extLst>
        </c:ser>
        <c:ser>
          <c:idx val="13"/>
          <c:order val="13"/>
          <c:tx>
            <c:strRef>
              <c:f>Sheet2!$AN$28</c:f>
              <c:strCache>
                <c:ptCount val="1"/>
                <c:pt idx="0">
                  <c:v>hh 3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Sheet2!$Y$29:$Y$49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Sheet2!$AN$29:$AN$49</c:f>
              <c:numCache>
                <c:formatCode>General</c:formatCode>
                <c:ptCount val="21"/>
                <c:pt idx="0">
                  <c:v>-1</c:v>
                </c:pt>
                <c:pt idx="1">
                  <c:v>-0.95</c:v>
                </c:pt>
                <c:pt idx="2">
                  <c:v>-0.9</c:v>
                </c:pt>
                <c:pt idx="3">
                  <c:v>-0.85</c:v>
                </c:pt>
                <c:pt idx="4">
                  <c:v>-0.8</c:v>
                </c:pt>
                <c:pt idx="5">
                  <c:v>-0.75</c:v>
                </c:pt>
                <c:pt idx="6">
                  <c:v>-0.7</c:v>
                </c:pt>
                <c:pt idx="7">
                  <c:v>-0.60357142857142854</c:v>
                </c:pt>
                <c:pt idx="8">
                  <c:v>-0.51428571428571423</c:v>
                </c:pt>
                <c:pt idx="9">
                  <c:v>-0.43214285714285716</c:v>
                </c:pt>
                <c:pt idx="10">
                  <c:v>-0.35714285714285715</c:v>
                </c:pt>
                <c:pt idx="11">
                  <c:v>-0.2892857142857142</c:v>
                </c:pt>
                <c:pt idx="12">
                  <c:v>-0.22857142857142862</c:v>
                </c:pt>
                <c:pt idx="13">
                  <c:v>-0.17499999999999996</c:v>
                </c:pt>
                <c:pt idx="14">
                  <c:v>-0.12857142857142859</c:v>
                </c:pt>
                <c:pt idx="15">
                  <c:v>-8.9285714285714288E-2</c:v>
                </c:pt>
                <c:pt idx="16">
                  <c:v>-5.7142857142857113E-2</c:v>
                </c:pt>
                <c:pt idx="17">
                  <c:v>-3.2142857142857147E-2</c:v>
                </c:pt>
                <c:pt idx="18">
                  <c:v>-1.4285714285714278E-2</c:v>
                </c:pt>
                <c:pt idx="19">
                  <c:v>-3.5714285714285778E-3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EF0-4A48-9BA3-68E4F349202F}"/>
            </c:ext>
          </c:extLst>
        </c:ser>
        <c:ser>
          <c:idx val="14"/>
          <c:order val="14"/>
          <c:tx>
            <c:strRef>
              <c:f>Sheet2!$AO$28</c:f>
              <c:strCache>
                <c:ptCount val="1"/>
                <c:pt idx="0">
                  <c:v>hh 2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Sheet2!$Y$29:$Y$49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Sheet2!$AO$29:$AO$49</c:f>
              <c:numCache>
                <c:formatCode>General</c:formatCode>
                <c:ptCount val="21"/>
                <c:pt idx="0">
                  <c:v>-1</c:v>
                </c:pt>
                <c:pt idx="1">
                  <c:v>-0.95</c:v>
                </c:pt>
                <c:pt idx="2">
                  <c:v>-0.9</c:v>
                </c:pt>
                <c:pt idx="3">
                  <c:v>-0.85</c:v>
                </c:pt>
                <c:pt idx="4">
                  <c:v>-0.8</c:v>
                </c:pt>
                <c:pt idx="5">
                  <c:v>-0.75</c:v>
                </c:pt>
                <c:pt idx="6">
                  <c:v>-0.7</c:v>
                </c:pt>
                <c:pt idx="7">
                  <c:v>-0.65</c:v>
                </c:pt>
                <c:pt idx="8">
                  <c:v>-0.6</c:v>
                </c:pt>
                <c:pt idx="9">
                  <c:v>-0.55000000000000004</c:v>
                </c:pt>
                <c:pt idx="10">
                  <c:v>-0.5</c:v>
                </c:pt>
                <c:pt idx="11">
                  <c:v>-0.43392857142857133</c:v>
                </c:pt>
                <c:pt idx="12">
                  <c:v>-0.34285714285714292</c:v>
                </c:pt>
                <c:pt idx="13">
                  <c:v>-0.26249999999999996</c:v>
                </c:pt>
                <c:pt idx="14">
                  <c:v>-0.19285714285714289</c:v>
                </c:pt>
                <c:pt idx="15">
                  <c:v>-0.13392857142857142</c:v>
                </c:pt>
                <c:pt idx="16">
                  <c:v>-8.5714285714285673E-2</c:v>
                </c:pt>
                <c:pt idx="17">
                  <c:v>-4.8214285714285723E-2</c:v>
                </c:pt>
                <c:pt idx="18">
                  <c:v>-2.1428571428571418E-2</c:v>
                </c:pt>
                <c:pt idx="19">
                  <c:v>-5.3571428571428667E-3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EF0-4A48-9BA3-68E4F349202F}"/>
            </c:ext>
          </c:extLst>
        </c:ser>
        <c:ser>
          <c:idx val="15"/>
          <c:order val="15"/>
          <c:tx>
            <c:strRef>
              <c:f>Sheet2!$AP$28</c:f>
              <c:strCache>
                <c:ptCount val="1"/>
                <c:pt idx="0">
                  <c:v>hh 1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Sheet2!$Y$29:$Y$49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Sheet2!$AP$29:$AP$49</c:f>
              <c:numCache>
                <c:formatCode>General</c:formatCode>
                <c:ptCount val="21"/>
                <c:pt idx="0">
                  <c:v>-1</c:v>
                </c:pt>
                <c:pt idx="1">
                  <c:v>-0.95</c:v>
                </c:pt>
                <c:pt idx="2">
                  <c:v>-0.9</c:v>
                </c:pt>
                <c:pt idx="3">
                  <c:v>-0.85</c:v>
                </c:pt>
                <c:pt idx="4">
                  <c:v>-0.8</c:v>
                </c:pt>
                <c:pt idx="5">
                  <c:v>-0.75</c:v>
                </c:pt>
                <c:pt idx="6">
                  <c:v>-0.7</c:v>
                </c:pt>
                <c:pt idx="7">
                  <c:v>-0.65</c:v>
                </c:pt>
                <c:pt idx="8">
                  <c:v>-0.6</c:v>
                </c:pt>
                <c:pt idx="9">
                  <c:v>-0.55000000000000004</c:v>
                </c:pt>
                <c:pt idx="10">
                  <c:v>-0.5</c:v>
                </c:pt>
                <c:pt idx="11">
                  <c:v>-0.44999999999999996</c:v>
                </c:pt>
                <c:pt idx="12">
                  <c:v>-0.4</c:v>
                </c:pt>
                <c:pt idx="13">
                  <c:v>-0.35</c:v>
                </c:pt>
                <c:pt idx="14">
                  <c:v>-0.30000000000000004</c:v>
                </c:pt>
                <c:pt idx="15">
                  <c:v>-0.25</c:v>
                </c:pt>
                <c:pt idx="16">
                  <c:v>-0.17142857142857135</c:v>
                </c:pt>
                <c:pt idx="17">
                  <c:v>-9.6428571428571447E-2</c:v>
                </c:pt>
                <c:pt idx="18">
                  <c:v>-4.2857142857142837E-2</c:v>
                </c:pt>
                <c:pt idx="19">
                  <c:v>-1.0714285714285733E-2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EF0-4A48-9BA3-68E4F349202F}"/>
            </c:ext>
          </c:extLst>
        </c:ser>
        <c:ser>
          <c:idx val="16"/>
          <c:order val="16"/>
          <c:tx>
            <c:strRef>
              <c:f>Sheet2!$AQ$28</c:f>
              <c:strCache>
                <c:ptCount val="1"/>
                <c:pt idx="0">
                  <c:v>hh 0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Sheet2!$Y$29:$Y$49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Sheet2!$AQ$29:$AQ$49</c:f>
              <c:numCache>
                <c:formatCode>General</c:formatCode>
                <c:ptCount val="21"/>
                <c:pt idx="0">
                  <c:v>-1</c:v>
                </c:pt>
                <c:pt idx="1">
                  <c:v>-0.95</c:v>
                </c:pt>
                <c:pt idx="2">
                  <c:v>-0.9</c:v>
                </c:pt>
                <c:pt idx="3">
                  <c:v>-0.85</c:v>
                </c:pt>
                <c:pt idx="4">
                  <c:v>-0.8</c:v>
                </c:pt>
                <c:pt idx="5">
                  <c:v>-0.75</c:v>
                </c:pt>
                <c:pt idx="6">
                  <c:v>-0.7</c:v>
                </c:pt>
                <c:pt idx="7">
                  <c:v>-0.65</c:v>
                </c:pt>
                <c:pt idx="8">
                  <c:v>-0.6</c:v>
                </c:pt>
                <c:pt idx="9">
                  <c:v>-0.55000000000000004</c:v>
                </c:pt>
                <c:pt idx="10">
                  <c:v>-0.5</c:v>
                </c:pt>
                <c:pt idx="11">
                  <c:v>-0.44999999999999996</c:v>
                </c:pt>
                <c:pt idx="12">
                  <c:v>-0.4</c:v>
                </c:pt>
                <c:pt idx="13">
                  <c:v>-0.35</c:v>
                </c:pt>
                <c:pt idx="14">
                  <c:v>-0.30000000000000004</c:v>
                </c:pt>
                <c:pt idx="15">
                  <c:v>-0.25</c:v>
                </c:pt>
                <c:pt idx="16">
                  <c:v>-0.19999999999999996</c:v>
                </c:pt>
                <c:pt idx="17">
                  <c:v>-0.15000000000000002</c:v>
                </c:pt>
                <c:pt idx="18">
                  <c:v>-9.9999999999999978E-2</c:v>
                </c:pt>
                <c:pt idx="19">
                  <c:v>-5.0000000000000044E-2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EF0-4A48-9BA3-68E4F3492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5293775"/>
        <c:axId val="1685295215"/>
      </c:scatterChart>
      <c:valAx>
        <c:axId val="168529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Instant SOC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295215"/>
        <c:crosses val="autoZero"/>
        <c:crossBetween val="midCat"/>
      </c:valAx>
      <c:valAx>
        <c:axId val="168529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Reward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293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0523312573856433E-2"/>
          <c:y val="0.88795488099914266"/>
          <c:w val="0.932264447560611"/>
          <c:h val="9.44695226011329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Sheet2!$B$28</c:f>
              <c:strCache>
                <c:ptCount val="1"/>
                <c:pt idx="0">
                  <c:v>Remain SOC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Sheet2!$B$29:$B$49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0.9</c:v>
                </c:pt>
                <c:pt idx="3">
                  <c:v>0.85</c:v>
                </c:pt>
                <c:pt idx="4">
                  <c:v>0.8</c:v>
                </c:pt>
                <c:pt idx="5">
                  <c:v>0.75</c:v>
                </c:pt>
                <c:pt idx="6">
                  <c:v>0.7</c:v>
                </c:pt>
                <c:pt idx="7">
                  <c:v>0.65</c:v>
                </c:pt>
                <c:pt idx="8">
                  <c:v>0.6</c:v>
                </c:pt>
                <c:pt idx="9">
                  <c:v>0.55000000000000004</c:v>
                </c:pt>
                <c:pt idx="10">
                  <c:v>0.5</c:v>
                </c:pt>
                <c:pt idx="11">
                  <c:v>0.44999999999999996</c:v>
                </c:pt>
                <c:pt idx="12">
                  <c:v>0.4</c:v>
                </c:pt>
                <c:pt idx="13">
                  <c:v>0.35</c:v>
                </c:pt>
                <c:pt idx="14">
                  <c:v>0.30000000000000004</c:v>
                </c:pt>
                <c:pt idx="15">
                  <c:v>0.25</c:v>
                </c:pt>
                <c:pt idx="16">
                  <c:v>0.19999999999999996</c:v>
                </c:pt>
                <c:pt idx="17">
                  <c:v>0.15000000000000002</c:v>
                </c:pt>
                <c:pt idx="18">
                  <c:v>9.9999999999999978E-2</c:v>
                </c:pt>
                <c:pt idx="19">
                  <c:v>5.0000000000000044E-2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ED-4A9D-BAB2-A97E8D73EC19}"/>
            </c:ext>
          </c:extLst>
        </c:ser>
        <c:ser>
          <c:idx val="1"/>
          <c:order val="1"/>
          <c:tx>
            <c:strRef>
              <c:f>Sheet2!$C$28</c:f>
              <c:strCache>
                <c:ptCount val="1"/>
                <c:pt idx="0">
                  <c:v>(exp-soc)^2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Sheet2!$C$29:$C$49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0.9</c:v>
                </c:pt>
                <c:pt idx="3">
                  <c:v>0.85</c:v>
                </c:pt>
                <c:pt idx="4">
                  <c:v>0.8</c:v>
                </c:pt>
                <c:pt idx="5">
                  <c:v>0.75</c:v>
                </c:pt>
                <c:pt idx="6">
                  <c:v>0.7</c:v>
                </c:pt>
                <c:pt idx="7">
                  <c:v>0.65</c:v>
                </c:pt>
                <c:pt idx="8">
                  <c:v>0.6</c:v>
                </c:pt>
                <c:pt idx="9">
                  <c:v>0.55000000000000004</c:v>
                </c:pt>
                <c:pt idx="10">
                  <c:v>0.5</c:v>
                </c:pt>
                <c:pt idx="11">
                  <c:v>0.44999999999999996</c:v>
                </c:pt>
                <c:pt idx="12">
                  <c:v>0.4</c:v>
                </c:pt>
                <c:pt idx="13">
                  <c:v>0.35</c:v>
                </c:pt>
                <c:pt idx="14">
                  <c:v>0.30000000000000004</c:v>
                </c:pt>
                <c:pt idx="15">
                  <c:v>0.25</c:v>
                </c:pt>
                <c:pt idx="16">
                  <c:v>0.19999999999999996</c:v>
                </c:pt>
                <c:pt idx="17">
                  <c:v>0.15000000000000002</c:v>
                </c:pt>
                <c:pt idx="18">
                  <c:v>9.9999999999999978E-2</c:v>
                </c:pt>
                <c:pt idx="19">
                  <c:v>5.0000000000000044E-2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ED-4A9D-BAB2-A97E8D73E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9906415"/>
        <c:axId val="1709908335"/>
      </c:lineChart>
      <c:catAx>
        <c:axId val="17099064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908335"/>
        <c:crosses val="autoZero"/>
        <c:auto val="1"/>
        <c:lblAlgn val="ctr"/>
        <c:lblOffset val="100"/>
        <c:noMultiLvlLbl val="0"/>
      </c:catAx>
      <c:valAx>
        <c:axId val="170990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90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Weight Variation w.r.t to User Expected soc and Expected Disconnect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Sheet2!$E$29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Sheet2!$F$28:$V$28</c:f>
              <c:strCache>
                <c:ptCount val="17"/>
                <c:pt idx="0">
                  <c:v>hh 16</c:v>
                </c:pt>
                <c:pt idx="1">
                  <c:v>hh 15</c:v>
                </c:pt>
                <c:pt idx="2">
                  <c:v>hh 14</c:v>
                </c:pt>
                <c:pt idx="3">
                  <c:v>hh 13</c:v>
                </c:pt>
                <c:pt idx="4">
                  <c:v>hh 12</c:v>
                </c:pt>
                <c:pt idx="5">
                  <c:v>hh 11</c:v>
                </c:pt>
                <c:pt idx="6">
                  <c:v>hh 10</c:v>
                </c:pt>
                <c:pt idx="7">
                  <c:v>hh 9</c:v>
                </c:pt>
                <c:pt idx="8">
                  <c:v>hh 8</c:v>
                </c:pt>
                <c:pt idx="9">
                  <c:v>hh 7</c:v>
                </c:pt>
                <c:pt idx="10">
                  <c:v>hh 6</c:v>
                </c:pt>
                <c:pt idx="11">
                  <c:v>hh 5</c:v>
                </c:pt>
                <c:pt idx="12">
                  <c:v>hh 4</c:v>
                </c:pt>
                <c:pt idx="13">
                  <c:v>hh 3</c:v>
                </c:pt>
                <c:pt idx="14">
                  <c:v>hh 2</c:v>
                </c:pt>
                <c:pt idx="15">
                  <c:v>hh 1</c:v>
                </c:pt>
                <c:pt idx="16">
                  <c:v>hh 0</c:v>
                </c:pt>
              </c:strCache>
            </c:strRef>
          </c:cat>
          <c:val>
            <c:numRef>
              <c:f>Sheet2!$F$29:$V$29</c:f>
              <c:numCache>
                <c:formatCode>General</c:formatCode>
                <c:ptCount val="17"/>
                <c:pt idx="0">
                  <c:v>0.26785714285714285</c:v>
                </c:pt>
                <c:pt idx="1">
                  <c:v>0.2857142857142857</c:v>
                </c:pt>
                <c:pt idx="2">
                  <c:v>0.30612244897959184</c:v>
                </c:pt>
                <c:pt idx="3">
                  <c:v>0.32967032967032966</c:v>
                </c:pt>
                <c:pt idx="4">
                  <c:v>0.35714285714285715</c:v>
                </c:pt>
                <c:pt idx="5">
                  <c:v>0.38961038961038957</c:v>
                </c:pt>
                <c:pt idx="6">
                  <c:v>0.42857142857142855</c:v>
                </c:pt>
                <c:pt idx="7">
                  <c:v>0.47619047619047616</c:v>
                </c:pt>
                <c:pt idx="8">
                  <c:v>0.5357142857142857</c:v>
                </c:pt>
                <c:pt idx="9">
                  <c:v>0.61224489795918369</c:v>
                </c:pt>
                <c:pt idx="10">
                  <c:v>0.7142857142857143</c:v>
                </c:pt>
                <c:pt idx="11">
                  <c:v>0.8571428571428571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54-4F79-9FBA-583771CD7AC8}"/>
            </c:ext>
          </c:extLst>
        </c:ser>
        <c:ser>
          <c:idx val="1"/>
          <c:order val="1"/>
          <c:tx>
            <c:strRef>
              <c:f>Sheet2!$E$30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Sheet2!$F$28:$V$28</c:f>
              <c:strCache>
                <c:ptCount val="17"/>
                <c:pt idx="0">
                  <c:v>hh 16</c:v>
                </c:pt>
                <c:pt idx="1">
                  <c:v>hh 15</c:v>
                </c:pt>
                <c:pt idx="2">
                  <c:v>hh 14</c:v>
                </c:pt>
                <c:pt idx="3">
                  <c:v>hh 13</c:v>
                </c:pt>
                <c:pt idx="4">
                  <c:v>hh 12</c:v>
                </c:pt>
                <c:pt idx="5">
                  <c:v>hh 11</c:v>
                </c:pt>
                <c:pt idx="6">
                  <c:v>hh 10</c:v>
                </c:pt>
                <c:pt idx="7">
                  <c:v>hh 9</c:v>
                </c:pt>
                <c:pt idx="8">
                  <c:v>hh 8</c:v>
                </c:pt>
                <c:pt idx="9">
                  <c:v>hh 7</c:v>
                </c:pt>
                <c:pt idx="10">
                  <c:v>hh 6</c:v>
                </c:pt>
                <c:pt idx="11">
                  <c:v>hh 5</c:v>
                </c:pt>
                <c:pt idx="12">
                  <c:v>hh 4</c:v>
                </c:pt>
                <c:pt idx="13">
                  <c:v>hh 3</c:v>
                </c:pt>
                <c:pt idx="14">
                  <c:v>hh 2</c:v>
                </c:pt>
                <c:pt idx="15">
                  <c:v>hh 1</c:v>
                </c:pt>
                <c:pt idx="16">
                  <c:v>hh 0</c:v>
                </c:pt>
              </c:strCache>
            </c:strRef>
          </c:cat>
          <c:val>
            <c:numRef>
              <c:f>Sheet2!$F$30:$V$30</c:f>
              <c:numCache>
                <c:formatCode>General</c:formatCode>
                <c:ptCount val="17"/>
                <c:pt idx="0">
                  <c:v>0.2544642857142857</c:v>
                </c:pt>
                <c:pt idx="1">
                  <c:v>0.27142857142857141</c:v>
                </c:pt>
                <c:pt idx="2">
                  <c:v>0.29081632653061223</c:v>
                </c:pt>
                <c:pt idx="3">
                  <c:v>0.31318681318681318</c:v>
                </c:pt>
                <c:pt idx="4">
                  <c:v>0.33928571428571425</c:v>
                </c:pt>
                <c:pt idx="5">
                  <c:v>0.37012987012987009</c:v>
                </c:pt>
                <c:pt idx="6">
                  <c:v>0.40714285714285714</c:v>
                </c:pt>
                <c:pt idx="7">
                  <c:v>0.45238095238095233</c:v>
                </c:pt>
                <c:pt idx="8">
                  <c:v>0.5089285714285714</c:v>
                </c:pt>
                <c:pt idx="9">
                  <c:v>0.58163265306122447</c:v>
                </c:pt>
                <c:pt idx="10">
                  <c:v>0.67857142857142849</c:v>
                </c:pt>
                <c:pt idx="11">
                  <c:v>0.81428571428571428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54-4F79-9FBA-583771CD7AC8}"/>
            </c:ext>
          </c:extLst>
        </c:ser>
        <c:ser>
          <c:idx val="2"/>
          <c:order val="2"/>
          <c:tx>
            <c:strRef>
              <c:f>Sheet2!$E$31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Sheet2!$F$28:$V$28</c:f>
              <c:strCache>
                <c:ptCount val="17"/>
                <c:pt idx="0">
                  <c:v>hh 16</c:v>
                </c:pt>
                <c:pt idx="1">
                  <c:v>hh 15</c:v>
                </c:pt>
                <c:pt idx="2">
                  <c:v>hh 14</c:v>
                </c:pt>
                <c:pt idx="3">
                  <c:v>hh 13</c:v>
                </c:pt>
                <c:pt idx="4">
                  <c:v>hh 12</c:v>
                </c:pt>
                <c:pt idx="5">
                  <c:v>hh 11</c:v>
                </c:pt>
                <c:pt idx="6">
                  <c:v>hh 10</c:v>
                </c:pt>
                <c:pt idx="7">
                  <c:v>hh 9</c:v>
                </c:pt>
                <c:pt idx="8">
                  <c:v>hh 8</c:v>
                </c:pt>
                <c:pt idx="9">
                  <c:v>hh 7</c:v>
                </c:pt>
                <c:pt idx="10">
                  <c:v>hh 6</c:v>
                </c:pt>
                <c:pt idx="11">
                  <c:v>hh 5</c:v>
                </c:pt>
                <c:pt idx="12">
                  <c:v>hh 4</c:v>
                </c:pt>
                <c:pt idx="13">
                  <c:v>hh 3</c:v>
                </c:pt>
                <c:pt idx="14">
                  <c:v>hh 2</c:v>
                </c:pt>
                <c:pt idx="15">
                  <c:v>hh 1</c:v>
                </c:pt>
                <c:pt idx="16">
                  <c:v>hh 0</c:v>
                </c:pt>
              </c:strCache>
            </c:strRef>
          </c:cat>
          <c:val>
            <c:numRef>
              <c:f>Sheet2!$F$31:$V$31</c:f>
              <c:numCache>
                <c:formatCode>General</c:formatCode>
                <c:ptCount val="17"/>
                <c:pt idx="0">
                  <c:v>0.24107142857142858</c:v>
                </c:pt>
                <c:pt idx="1">
                  <c:v>0.25714285714285717</c:v>
                </c:pt>
                <c:pt idx="2">
                  <c:v>0.27551020408163268</c:v>
                </c:pt>
                <c:pt idx="3">
                  <c:v>0.2967032967032967</c:v>
                </c:pt>
                <c:pt idx="4">
                  <c:v>0.32142857142857145</c:v>
                </c:pt>
                <c:pt idx="5">
                  <c:v>0.35064935064935066</c:v>
                </c:pt>
                <c:pt idx="6">
                  <c:v>0.38571428571428573</c:v>
                </c:pt>
                <c:pt idx="7">
                  <c:v>0.4285714285714286</c:v>
                </c:pt>
                <c:pt idx="8">
                  <c:v>0.48214285714285715</c:v>
                </c:pt>
                <c:pt idx="9">
                  <c:v>0.55102040816326536</c:v>
                </c:pt>
                <c:pt idx="10">
                  <c:v>0.6428571428571429</c:v>
                </c:pt>
                <c:pt idx="11">
                  <c:v>0.77142857142857146</c:v>
                </c:pt>
                <c:pt idx="12">
                  <c:v>0.9642857142857143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54-4F79-9FBA-583771CD7AC8}"/>
            </c:ext>
          </c:extLst>
        </c:ser>
        <c:ser>
          <c:idx val="3"/>
          <c:order val="3"/>
          <c:tx>
            <c:strRef>
              <c:f>Sheet2!$E$32</c:f>
              <c:strCache>
                <c:ptCount val="1"/>
                <c:pt idx="0">
                  <c:v>15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Sheet2!$F$28:$V$28</c:f>
              <c:strCache>
                <c:ptCount val="17"/>
                <c:pt idx="0">
                  <c:v>hh 16</c:v>
                </c:pt>
                <c:pt idx="1">
                  <c:v>hh 15</c:v>
                </c:pt>
                <c:pt idx="2">
                  <c:v>hh 14</c:v>
                </c:pt>
                <c:pt idx="3">
                  <c:v>hh 13</c:v>
                </c:pt>
                <c:pt idx="4">
                  <c:v>hh 12</c:v>
                </c:pt>
                <c:pt idx="5">
                  <c:v>hh 11</c:v>
                </c:pt>
                <c:pt idx="6">
                  <c:v>hh 10</c:v>
                </c:pt>
                <c:pt idx="7">
                  <c:v>hh 9</c:v>
                </c:pt>
                <c:pt idx="8">
                  <c:v>hh 8</c:v>
                </c:pt>
                <c:pt idx="9">
                  <c:v>hh 7</c:v>
                </c:pt>
                <c:pt idx="10">
                  <c:v>hh 6</c:v>
                </c:pt>
                <c:pt idx="11">
                  <c:v>hh 5</c:v>
                </c:pt>
                <c:pt idx="12">
                  <c:v>hh 4</c:v>
                </c:pt>
                <c:pt idx="13">
                  <c:v>hh 3</c:v>
                </c:pt>
                <c:pt idx="14">
                  <c:v>hh 2</c:v>
                </c:pt>
                <c:pt idx="15">
                  <c:v>hh 1</c:v>
                </c:pt>
                <c:pt idx="16">
                  <c:v>hh 0</c:v>
                </c:pt>
              </c:strCache>
            </c:strRef>
          </c:cat>
          <c:val>
            <c:numRef>
              <c:f>Sheet2!$F$32:$V$32</c:f>
              <c:numCache>
                <c:formatCode>General</c:formatCode>
                <c:ptCount val="17"/>
                <c:pt idx="0">
                  <c:v>0.22767857142857142</c:v>
                </c:pt>
                <c:pt idx="1">
                  <c:v>0.24285714285714285</c:v>
                </c:pt>
                <c:pt idx="2">
                  <c:v>0.26020408163265307</c:v>
                </c:pt>
                <c:pt idx="3">
                  <c:v>0.28021978021978022</c:v>
                </c:pt>
                <c:pt idx="4">
                  <c:v>0.30357142857142855</c:v>
                </c:pt>
                <c:pt idx="5">
                  <c:v>0.33116883116883117</c:v>
                </c:pt>
                <c:pt idx="6">
                  <c:v>0.36428571428571427</c:v>
                </c:pt>
                <c:pt idx="7">
                  <c:v>0.40476190476190477</c:v>
                </c:pt>
                <c:pt idx="8">
                  <c:v>0.45535714285714285</c:v>
                </c:pt>
                <c:pt idx="9">
                  <c:v>0.52040816326530615</c:v>
                </c:pt>
                <c:pt idx="10">
                  <c:v>0.6071428571428571</c:v>
                </c:pt>
                <c:pt idx="11">
                  <c:v>0.72857142857142854</c:v>
                </c:pt>
                <c:pt idx="12">
                  <c:v>0.9107142857142857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54-4F79-9FBA-583771CD7AC8}"/>
            </c:ext>
          </c:extLst>
        </c:ser>
        <c:ser>
          <c:idx val="4"/>
          <c:order val="4"/>
          <c:tx>
            <c:strRef>
              <c:f>Sheet2!$E$33</c:f>
              <c:strCache>
                <c:ptCount val="1"/>
                <c:pt idx="0">
                  <c:v>20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Sheet2!$F$28:$V$28</c:f>
              <c:strCache>
                <c:ptCount val="17"/>
                <c:pt idx="0">
                  <c:v>hh 16</c:v>
                </c:pt>
                <c:pt idx="1">
                  <c:v>hh 15</c:v>
                </c:pt>
                <c:pt idx="2">
                  <c:v>hh 14</c:v>
                </c:pt>
                <c:pt idx="3">
                  <c:v>hh 13</c:v>
                </c:pt>
                <c:pt idx="4">
                  <c:v>hh 12</c:v>
                </c:pt>
                <c:pt idx="5">
                  <c:v>hh 11</c:v>
                </c:pt>
                <c:pt idx="6">
                  <c:v>hh 10</c:v>
                </c:pt>
                <c:pt idx="7">
                  <c:v>hh 9</c:v>
                </c:pt>
                <c:pt idx="8">
                  <c:v>hh 8</c:v>
                </c:pt>
                <c:pt idx="9">
                  <c:v>hh 7</c:v>
                </c:pt>
                <c:pt idx="10">
                  <c:v>hh 6</c:v>
                </c:pt>
                <c:pt idx="11">
                  <c:v>hh 5</c:v>
                </c:pt>
                <c:pt idx="12">
                  <c:v>hh 4</c:v>
                </c:pt>
                <c:pt idx="13">
                  <c:v>hh 3</c:v>
                </c:pt>
                <c:pt idx="14">
                  <c:v>hh 2</c:v>
                </c:pt>
                <c:pt idx="15">
                  <c:v>hh 1</c:v>
                </c:pt>
                <c:pt idx="16">
                  <c:v>hh 0</c:v>
                </c:pt>
              </c:strCache>
            </c:strRef>
          </c:cat>
          <c:val>
            <c:numRef>
              <c:f>Sheet2!$F$33:$V$33</c:f>
              <c:numCache>
                <c:formatCode>General</c:formatCode>
                <c:ptCount val="17"/>
                <c:pt idx="0">
                  <c:v>0.2142857142857143</c:v>
                </c:pt>
                <c:pt idx="1">
                  <c:v>0.22857142857142859</c:v>
                </c:pt>
                <c:pt idx="2">
                  <c:v>0.24489795918367349</c:v>
                </c:pt>
                <c:pt idx="3">
                  <c:v>0.26373626373626374</c:v>
                </c:pt>
                <c:pt idx="4">
                  <c:v>0.28571428571428575</c:v>
                </c:pt>
                <c:pt idx="5">
                  <c:v>0.31168831168831174</c:v>
                </c:pt>
                <c:pt idx="6">
                  <c:v>0.34285714285714286</c:v>
                </c:pt>
                <c:pt idx="7">
                  <c:v>0.38095238095238099</c:v>
                </c:pt>
                <c:pt idx="8">
                  <c:v>0.4285714285714286</c:v>
                </c:pt>
                <c:pt idx="9">
                  <c:v>0.48979591836734698</c:v>
                </c:pt>
                <c:pt idx="10">
                  <c:v>0.57142857142857151</c:v>
                </c:pt>
                <c:pt idx="11">
                  <c:v>0.68571428571428572</c:v>
                </c:pt>
                <c:pt idx="12">
                  <c:v>0.85714285714285721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54-4F79-9FBA-583771CD7AC8}"/>
            </c:ext>
          </c:extLst>
        </c:ser>
        <c:ser>
          <c:idx val="5"/>
          <c:order val="5"/>
          <c:tx>
            <c:strRef>
              <c:f>Sheet2!$E$34</c:f>
              <c:strCache>
                <c:ptCount val="1"/>
                <c:pt idx="0">
                  <c:v>25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Sheet2!$F$28:$V$28</c:f>
              <c:strCache>
                <c:ptCount val="17"/>
                <c:pt idx="0">
                  <c:v>hh 16</c:v>
                </c:pt>
                <c:pt idx="1">
                  <c:v>hh 15</c:v>
                </c:pt>
                <c:pt idx="2">
                  <c:v>hh 14</c:v>
                </c:pt>
                <c:pt idx="3">
                  <c:v>hh 13</c:v>
                </c:pt>
                <c:pt idx="4">
                  <c:v>hh 12</c:v>
                </c:pt>
                <c:pt idx="5">
                  <c:v>hh 11</c:v>
                </c:pt>
                <c:pt idx="6">
                  <c:v>hh 10</c:v>
                </c:pt>
                <c:pt idx="7">
                  <c:v>hh 9</c:v>
                </c:pt>
                <c:pt idx="8">
                  <c:v>hh 8</c:v>
                </c:pt>
                <c:pt idx="9">
                  <c:v>hh 7</c:v>
                </c:pt>
                <c:pt idx="10">
                  <c:v>hh 6</c:v>
                </c:pt>
                <c:pt idx="11">
                  <c:v>hh 5</c:v>
                </c:pt>
                <c:pt idx="12">
                  <c:v>hh 4</c:v>
                </c:pt>
                <c:pt idx="13">
                  <c:v>hh 3</c:v>
                </c:pt>
                <c:pt idx="14">
                  <c:v>hh 2</c:v>
                </c:pt>
                <c:pt idx="15">
                  <c:v>hh 1</c:v>
                </c:pt>
                <c:pt idx="16">
                  <c:v>hh 0</c:v>
                </c:pt>
              </c:strCache>
            </c:strRef>
          </c:cat>
          <c:val>
            <c:numRef>
              <c:f>Sheet2!$F$34:$V$34</c:f>
              <c:numCache>
                <c:formatCode>General</c:formatCode>
                <c:ptCount val="17"/>
                <c:pt idx="0">
                  <c:v>0.20089285714285715</c:v>
                </c:pt>
                <c:pt idx="1">
                  <c:v>0.2142857142857143</c:v>
                </c:pt>
                <c:pt idx="2">
                  <c:v>0.22959183673469388</c:v>
                </c:pt>
                <c:pt idx="3">
                  <c:v>0.24725274725274726</c:v>
                </c:pt>
                <c:pt idx="4">
                  <c:v>0.26785714285714285</c:v>
                </c:pt>
                <c:pt idx="5">
                  <c:v>0.29220779220779219</c:v>
                </c:pt>
                <c:pt idx="6">
                  <c:v>0.32142857142857145</c:v>
                </c:pt>
                <c:pt idx="7">
                  <c:v>0.35714285714285715</c:v>
                </c:pt>
                <c:pt idx="8">
                  <c:v>0.4017857142857143</c:v>
                </c:pt>
                <c:pt idx="9">
                  <c:v>0.45918367346938777</c:v>
                </c:pt>
                <c:pt idx="10">
                  <c:v>0.5357142857142857</c:v>
                </c:pt>
                <c:pt idx="11">
                  <c:v>0.6428571428571429</c:v>
                </c:pt>
                <c:pt idx="12">
                  <c:v>0.8035714285714286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654-4F79-9FBA-583771CD7AC8}"/>
            </c:ext>
          </c:extLst>
        </c:ser>
        <c:ser>
          <c:idx val="6"/>
          <c:order val="6"/>
          <c:tx>
            <c:strRef>
              <c:f>Sheet2!$E$35</c:f>
              <c:strCache>
                <c:ptCount val="1"/>
                <c:pt idx="0">
                  <c:v>30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Sheet2!$F$28:$V$28</c:f>
              <c:strCache>
                <c:ptCount val="17"/>
                <c:pt idx="0">
                  <c:v>hh 16</c:v>
                </c:pt>
                <c:pt idx="1">
                  <c:v>hh 15</c:v>
                </c:pt>
                <c:pt idx="2">
                  <c:v>hh 14</c:v>
                </c:pt>
                <c:pt idx="3">
                  <c:v>hh 13</c:v>
                </c:pt>
                <c:pt idx="4">
                  <c:v>hh 12</c:v>
                </c:pt>
                <c:pt idx="5">
                  <c:v>hh 11</c:v>
                </c:pt>
                <c:pt idx="6">
                  <c:v>hh 10</c:v>
                </c:pt>
                <c:pt idx="7">
                  <c:v>hh 9</c:v>
                </c:pt>
                <c:pt idx="8">
                  <c:v>hh 8</c:v>
                </c:pt>
                <c:pt idx="9">
                  <c:v>hh 7</c:v>
                </c:pt>
                <c:pt idx="10">
                  <c:v>hh 6</c:v>
                </c:pt>
                <c:pt idx="11">
                  <c:v>hh 5</c:v>
                </c:pt>
                <c:pt idx="12">
                  <c:v>hh 4</c:v>
                </c:pt>
                <c:pt idx="13">
                  <c:v>hh 3</c:v>
                </c:pt>
                <c:pt idx="14">
                  <c:v>hh 2</c:v>
                </c:pt>
                <c:pt idx="15">
                  <c:v>hh 1</c:v>
                </c:pt>
                <c:pt idx="16">
                  <c:v>hh 0</c:v>
                </c:pt>
              </c:strCache>
            </c:strRef>
          </c:cat>
          <c:val>
            <c:numRef>
              <c:f>Sheet2!$F$35:$V$35</c:f>
              <c:numCache>
                <c:formatCode>General</c:formatCode>
                <c:ptCount val="17"/>
                <c:pt idx="0">
                  <c:v>0.18749999999999997</c:v>
                </c:pt>
                <c:pt idx="1">
                  <c:v>0.19999999999999998</c:v>
                </c:pt>
                <c:pt idx="2">
                  <c:v>0.21428571428571425</c:v>
                </c:pt>
                <c:pt idx="3">
                  <c:v>0.23076923076923073</c:v>
                </c:pt>
                <c:pt idx="4">
                  <c:v>0.24999999999999997</c:v>
                </c:pt>
                <c:pt idx="5">
                  <c:v>0.27272727272727271</c:v>
                </c:pt>
                <c:pt idx="6">
                  <c:v>0.29999999999999993</c:v>
                </c:pt>
                <c:pt idx="7">
                  <c:v>0.33333333333333326</c:v>
                </c:pt>
                <c:pt idx="8">
                  <c:v>0.37499999999999994</c:v>
                </c:pt>
                <c:pt idx="9">
                  <c:v>0.42857142857142849</c:v>
                </c:pt>
                <c:pt idx="10">
                  <c:v>0.49999999999999994</c:v>
                </c:pt>
                <c:pt idx="11">
                  <c:v>0.59999999999999987</c:v>
                </c:pt>
                <c:pt idx="12">
                  <c:v>0.74999999999999989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654-4F79-9FBA-583771CD7AC8}"/>
            </c:ext>
          </c:extLst>
        </c:ser>
        <c:ser>
          <c:idx val="7"/>
          <c:order val="7"/>
          <c:tx>
            <c:strRef>
              <c:f>Sheet2!$E$36</c:f>
              <c:strCache>
                <c:ptCount val="1"/>
                <c:pt idx="0">
                  <c:v>35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Sheet2!$F$28:$V$28</c:f>
              <c:strCache>
                <c:ptCount val="17"/>
                <c:pt idx="0">
                  <c:v>hh 16</c:v>
                </c:pt>
                <c:pt idx="1">
                  <c:v>hh 15</c:v>
                </c:pt>
                <c:pt idx="2">
                  <c:v>hh 14</c:v>
                </c:pt>
                <c:pt idx="3">
                  <c:v>hh 13</c:v>
                </c:pt>
                <c:pt idx="4">
                  <c:v>hh 12</c:v>
                </c:pt>
                <c:pt idx="5">
                  <c:v>hh 11</c:v>
                </c:pt>
                <c:pt idx="6">
                  <c:v>hh 10</c:v>
                </c:pt>
                <c:pt idx="7">
                  <c:v>hh 9</c:v>
                </c:pt>
                <c:pt idx="8">
                  <c:v>hh 8</c:v>
                </c:pt>
                <c:pt idx="9">
                  <c:v>hh 7</c:v>
                </c:pt>
                <c:pt idx="10">
                  <c:v>hh 6</c:v>
                </c:pt>
                <c:pt idx="11">
                  <c:v>hh 5</c:v>
                </c:pt>
                <c:pt idx="12">
                  <c:v>hh 4</c:v>
                </c:pt>
                <c:pt idx="13">
                  <c:v>hh 3</c:v>
                </c:pt>
                <c:pt idx="14">
                  <c:v>hh 2</c:v>
                </c:pt>
                <c:pt idx="15">
                  <c:v>hh 1</c:v>
                </c:pt>
                <c:pt idx="16">
                  <c:v>hh 0</c:v>
                </c:pt>
              </c:strCache>
            </c:strRef>
          </c:cat>
          <c:val>
            <c:numRef>
              <c:f>Sheet2!$F$36:$V$36</c:f>
              <c:numCache>
                <c:formatCode>General</c:formatCode>
                <c:ptCount val="17"/>
                <c:pt idx="0">
                  <c:v>0.17410714285714285</c:v>
                </c:pt>
                <c:pt idx="1">
                  <c:v>0.18571428571428569</c:v>
                </c:pt>
                <c:pt idx="2">
                  <c:v>0.19897959183673469</c:v>
                </c:pt>
                <c:pt idx="3">
                  <c:v>0.21428571428571427</c:v>
                </c:pt>
                <c:pt idx="4">
                  <c:v>0.23214285714285712</c:v>
                </c:pt>
                <c:pt idx="5">
                  <c:v>0.25324675324675322</c:v>
                </c:pt>
                <c:pt idx="6">
                  <c:v>0.27857142857142858</c:v>
                </c:pt>
                <c:pt idx="7">
                  <c:v>0.30952380952380953</c:v>
                </c:pt>
                <c:pt idx="8">
                  <c:v>0.3482142857142857</c:v>
                </c:pt>
                <c:pt idx="9">
                  <c:v>0.39795918367346939</c:v>
                </c:pt>
                <c:pt idx="10">
                  <c:v>0.46428571428571425</c:v>
                </c:pt>
                <c:pt idx="11">
                  <c:v>0.55714285714285716</c:v>
                </c:pt>
                <c:pt idx="12">
                  <c:v>0.6964285714285714</c:v>
                </c:pt>
                <c:pt idx="13">
                  <c:v>0.92857142857142849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654-4F79-9FBA-583771CD7AC8}"/>
            </c:ext>
          </c:extLst>
        </c:ser>
        <c:ser>
          <c:idx val="8"/>
          <c:order val="8"/>
          <c:tx>
            <c:strRef>
              <c:f>Sheet2!$E$37</c:f>
              <c:strCache>
                <c:ptCount val="1"/>
                <c:pt idx="0">
                  <c:v>40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Sheet2!$F$28:$V$28</c:f>
              <c:strCache>
                <c:ptCount val="17"/>
                <c:pt idx="0">
                  <c:v>hh 16</c:v>
                </c:pt>
                <c:pt idx="1">
                  <c:v>hh 15</c:v>
                </c:pt>
                <c:pt idx="2">
                  <c:v>hh 14</c:v>
                </c:pt>
                <c:pt idx="3">
                  <c:v>hh 13</c:v>
                </c:pt>
                <c:pt idx="4">
                  <c:v>hh 12</c:v>
                </c:pt>
                <c:pt idx="5">
                  <c:v>hh 11</c:v>
                </c:pt>
                <c:pt idx="6">
                  <c:v>hh 10</c:v>
                </c:pt>
                <c:pt idx="7">
                  <c:v>hh 9</c:v>
                </c:pt>
                <c:pt idx="8">
                  <c:v>hh 8</c:v>
                </c:pt>
                <c:pt idx="9">
                  <c:v>hh 7</c:v>
                </c:pt>
                <c:pt idx="10">
                  <c:v>hh 6</c:v>
                </c:pt>
                <c:pt idx="11">
                  <c:v>hh 5</c:v>
                </c:pt>
                <c:pt idx="12">
                  <c:v>hh 4</c:v>
                </c:pt>
                <c:pt idx="13">
                  <c:v>hh 3</c:v>
                </c:pt>
                <c:pt idx="14">
                  <c:v>hh 2</c:v>
                </c:pt>
                <c:pt idx="15">
                  <c:v>hh 1</c:v>
                </c:pt>
                <c:pt idx="16">
                  <c:v>hh 0</c:v>
                </c:pt>
              </c:strCache>
            </c:strRef>
          </c:cat>
          <c:val>
            <c:numRef>
              <c:f>Sheet2!$F$37:$V$37</c:f>
              <c:numCache>
                <c:formatCode>General</c:formatCode>
                <c:ptCount val="17"/>
                <c:pt idx="0">
                  <c:v>0.1607142857142857</c:v>
                </c:pt>
                <c:pt idx="1">
                  <c:v>0.1714285714285714</c:v>
                </c:pt>
                <c:pt idx="2">
                  <c:v>0.18367346938775508</c:v>
                </c:pt>
                <c:pt idx="3">
                  <c:v>0.19780219780219779</c:v>
                </c:pt>
                <c:pt idx="4">
                  <c:v>0.21428571428571427</c:v>
                </c:pt>
                <c:pt idx="5">
                  <c:v>0.23376623376623373</c:v>
                </c:pt>
                <c:pt idx="6">
                  <c:v>0.25714285714285712</c:v>
                </c:pt>
                <c:pt idx="7">
                  <c:v>0.2857142857142857</c:v>
                </c:pt>
                <c:pt idx="8">
                  <c:v>0.3214285714285714</c:v>
                </c:pt>
                <c:pt idx="9">
                  <c:v>0.36734693877551017</c:v>
                </c:pt>
                <c:pt idx="10">
                  <c:v>0.42857142857142855</c:v>
                </c:pt>
                <c:pt idx="11">
                  <c:v>0.51428571428571423</c:v>
                </c:pt>
                <c:pt idx="12">
                  <c:v>0.64285714285714279</c:v>
                </c:pt>
                <c:pt idx="13">
                  <c:v>0.8571428571428571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654-4F79-9FBA-583771CD7AC8}"/>
            </c:ext>
          </c:extLst>
        </c:ser>
        <c:ser>
          <c:idx val="9"/>
          <c:order val="9"/>
          <c:tx>
            <c:strRef>
              <c:f>Sheet2!$E$38</c:f>
              <c:strCache>
                <c:ptCount val="1"/>
                <c:pt idx="0">
                  <c:v>45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Sheet2!$F$28:$V$28</c:f>
              <c:strCache>
                <c:ptCount val="17"/>
                <c:pt idx="0">
                  <c:v>hh 16</c:v>
                </c:pt>
                <c:pt idx="1">
                  <c:v>hh 15</c:v>
                </c:pt>
                <c:pt idx="2">
                  <c:v>hh 14</c:v>
                </c:pt>
                <c:pt idx="3">
                  <c:v>hh 13</c:v>
                </c:pt>
                <c:pt idx="4">
                  <c:v>hh 12</c:v>
                </c:pt>
                <c:pt idx="5">
                  <c:v>hh 11</c:v>
                </c:pt>
                <c:pt idx="6">
                  <c:v>hh 10</c:v>
                </c:pt>
                <c:pt idx="7">
                  <c:v>hh 9</c:v>
                </c:pt>
                <c:pt idx="8">
                  <c:v>hh 8</c:v>
                </c:pt>
                <c:pt idx="9">
                  <c:v>hh 7</c:v>
                </c:pt>
                <c:pt idx="10">
                  <c:v>hh 6</c:v>
                </c:pt>
                <c:pt idx="11">
                  <c:v>hh 5</c:v>
                </c:pt>
                <c:pt idx="12">
                  <c:v>hh 4</c:v>
                </c:pt>
                <c:pt idx="13">
                  <c:v>hh 3</c:v>
                </c:pt>
                <c:pt idx="14">
                  <c:v>hh 2</c:v>
                </c:pt>
                <c:pt idx="15">
                  <c:v>hh 1</c:v>
                </c:pt>
                <c:pt idx="16">
                  <c:v>hh 0</c:v>
                </c:pt>
              </c:strCache>
            </c:strRef>
          </c:cat>
          <c:val>
            <c:numRef>
              <c:f>Sheet2!$F$38:$V$38</c:f>
              <c:numCache>
                <c:formatCode>General</c:formatCode>
                <c:ptCount val="17"/>
                <c:pt idx="0">
                  <c:v>0.14732142857142858</c:v>
                </c:pt>
                <c:pt idx="1">
                  <c:v>0.15714285714285714</c:v>
                </c:pt>
                <c:pt idx="2">
                  <c:v>0.1683673469387755</c:v>
                </c:pt>
                <c:pt idx="3">
                  <c:v>0.18131868131868131</c:v>
                </c:pt>
                <c:pt idx="4">
                  <c:v>0.19642857142857142</c:v>
                </c:pt>
                <c:pt idx="5">
                  <c:v>0.2142857142857143</c:v>
                </c:pt>
                <c:pt idx="6">
                  <c:v>0.23571428571428571</c:v>
                </c:pt>
                <c:pt idx="7">
                  <c:v>0.26190476190476192</c:v>
                </c:pt>
                <c:pt idx="8">
                  <c:v>0.29464285714285715</c:v>
                </c:pt>
                <c:pt idx="9">
                  <c:v>0.33673469387755101</c:v>
                </c:pt>
                <c:pt idx="10">
                  <c:v>0.39285714285714285</c:v>
                </c:pt>
                <c:pt idx="11">
                  <c:v>0.47142857142857142</c:v>
                </c:pt>
                <c:pt idx="12">
                  <c:v>0.5892857142857143</c:v>
                </c:pt>
                <c:pt idx="13">
                  <c:v>0.7857142857142857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654-4F79-9FBA-583771CD7AC8}"/>
            </c:ext>
          </c:extLst>
        </c:ser>
        <c:ser>
          <c:idx val="10"/>
          <c:order val="10"/>
          <c:tx>
            <c:strRef>
              <c:f>Sheet2!$E$39</c:f>
              <c:strCache>
                <c:ptCount val="1"/>
                <c:pt idx="0">
                  <c:v>50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Sheet2!$F$28:$V$28</c:f>
              <c:strCache>
                <c:ptCount val="17"/>
                <c:pt idx="0">
                  <c:v>hh 16</c:v>
                </c:pt>
                <c:pt idx="1">
                  <c:v>hh 15</c:v>
                </c:pt>
                <c:pt idx="2">
                  <c:v>hh 14</c:v>
                </c:pt>
                <c:pt idx="3">
                  <c:v>hh 13</c:v>
                </c:pt>
                <c:pt idx="4">
                  <c:v>hh 12</c:v>
                </c:pt>
                <c:pt idx="5">
                  <c:v>hh 11</c:v>
                </c:pt>
                <c:pt idx="6">
                  <c:v>hh 10</c:v>
                </c:pt>
                <c:pt idx="7">
                  <c:v>hh 9</c:v>
                </c:pt>
                <c:pt idx="8">
                  <c:v>hh 8</c:v>
                </c:pt>
                <c:pt idx="9">
                  <c:v>hh 7</c:v>
                </c:pt>
                <c:pt idx="10">
                  <c:v>hh 6</c:v>
                </c:pt>
                <c:pt idx="11">
                  <c:v>hh 5</c:v>
                </c:pt>
                <c:pt idx="12">
                  <c:v>hh 4</c:v>
                </c:pt>
                <c:pt idx="13">
                  <c:v>hh 3</c:v>
                </c:pt>
                <c:pt idx="14">
                  <c:v>hh 2</c:v>
                </c:pt>
                <c:pt idx="15">
                  <c:v>hh 1</c:v>
                </c:pt>
                <c:pt idx="16">
                  <c:v>hh 0</c:v>
                </c:pt>
              </c:strCache>
            </c:strRef>
          </c:cat>
          <c:val>
            <c:numRef>
              <c:f>Sheet2!$F$39:$V$39</c:f>
              <c:numCache>
                <c:formatCode>General</c:formatCode>
                <c:ptCount val="17"/>
                <c:pt idx="0">
                  <c:v>0.13392857142857142</c:v>
                </c:pt>
                <c:pt idx="1">
                  <c:v>0.14285714285714285</c:v>
                </c:pt>
                <c:pt idx="2">
                  <c:v>0.15306122448979592</c:v>
                </c:pt>
                <c:pt idx="3">
                  <c:v>0.16483516483516483</c:v>
                </c:pt>
                <c:pt idx="4">
                  <c:v>0.17857142857142858</c:v>
                </c:pt>
                <c:pt idx="5">
                  <c:v>0.19480519480519479</c:v>
                </c:pt>
                <c:pt idx="6">
                  <c:v>0.21428571428571427</c:v>
                </c:pt>
                <c:pt idx="7">
                  <c:v>0.23809523809523808</c:v>
                </c:pt>
                <c:pt idx="8">
                  <c:v>0.26785714285714285</c:v>
                </c:pt>
                <c:pt idx="9">
                  <c:v>0.30612244897959184</c:v>
                </c:pt>
                <c:pt idx="10">
                  <c:v>0.35714285714285715</c:v>
                </c:pt>
                <c:pt idx="11">
                  <c:v>0.42857142857142855</c:v>
                </c:pt>
                <c:pt idx="12">
                  <c:v>0.5357142857142857</c:v>
                </c:pt>
                <c:pt idx="13">
                  <c:v>0.7142857142857143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654-4F79-9FBA-583771CD7AC8}"/>
            </c:ext>
          </c:extLst>
        </c:ser>
        <c:ser>
          <c:idx val="11"/>
          <c:order val="11"/>
          <c:tx>
            <c:strRef>
              <c:f>Sheet2!$E$40</c:f>
              <c:strCache>
                <c:ptCount val="1"/>
                <c:pt idx="0">
                  <c:v>55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Sheet2!$F$28:$V$28</c:f>
              <c:strCache>
                <c:ptCount val="17"/>
                <c:pt idx="0">
                  <c:v>hh 16</c:v>
                </c:pt>
                <c:pt idx="1">
                  <c:v>hh 15</c:v>
                </c:pt>
                <c:pt idx="2">
                  <c:v>hh 14</c:v>
                </c:pt>
                <c:pt idx="3">
                  <c:v>hh 13</c:v>
                </c:pt>
                <c:pt idx="4">
                  <c:v>hh 12</c:v>
                </c:pt>
                <c:pt idx="5">
                  <c:v>hh 11</c:v>
                </c:pt>
                <c:pt idx="6">
                  <c:v>hh 10</c:v>
                </c:pt>
                <c:pt idx="7">
                  <c:v>hh 9</c:v>
                </c:pt>
                <c:pt idx="8">
                  <c:v>hh 8</c:v>
                </c:pt>
                <c:pt idx="9">
                  <c:v>hh 7</c:v>
                </c:pt>
                <c:pt idx="10">
                  <c:v>hh 6</c:v>
                </c:pt>
                <c:pt idx="11">
                  <c:v>hh 5</c:v>
                </c:pt>
                <c:pt idx="12">
                  <c:v>hh 4</c:v>
                </c:pt>
                <c:pt idx="13">
                  <c:v>hh 3</c:v>
                </c:pt>
                <c:pt idx="14">
                  <c:v>hh 2</c:v>
                </c:pt>
                <c:pt idx="15">
                  <c:v>hh 1</c:v>
                </c:pt>
                <c:pt idx="16">
                  <c:v>hh 0</c:v>
                </c:pt>
              </c:strCache>
            </c:strRef>
          </c:cat>
          <c:val>
            <c:numRef>
              <c:f>Sheet2!$F$40:$V$40</c:f>
              <c:numCache>
                <c:formatCode>General</c:formatCode>
                <c:ptCount val="17"/>
                <c:pt idx="0">
                  <c:v>0.12053571428571427</c:v>
                </c:pt>
                <c:pt idx="1">
                  <c:v>0.12857142857142856</c:v>
                </c:pt>
                <c:pt idx="2">
                  <c:v>0.13775510204081631</c:v>
                </c:pt>
                <c:pt idx="3">
                  <c:v>0.14835164835164832</c:v>
                </c:pt>
                <c:pt idx="4">
                  <c:v>0.1607142857142857</c:v>
                </c:pt>
                <c:pt idx="5">
                  <c:v>0.1753246753246753</c:v>
                </c:pt>
                <c:pt idx="6">
                  <c:v>0.19285714285714284</c:v>
                </c:pt>
                <c:pt idx="7">
                  <c:v>0.21428571428571427</c:v>
                </c:pt>
                <c:pt idx="8">
                  <c:v>0.24107142857142855</c:v>
                </c:pt>
                <c:pt idx="9">
                  <c:v>0.27551020408163263</c:v>
                </c:pt>
                <c:pt idx="10">
                  <c:v>0.3214285714285714</c:v>
                </c:pt>
                <c:pt idx="11">
                  <c:v>0.38571428571428568</c:v>
                </c:pt>
                <c:pt idx="12">
                  <c:v>0.4821428571428571</c:v>
                </c:pt>
                <c:pt idx="13">
                  <c:v>0.64285714285714279</c:v>
                </c:pt>
                <c:pt idx="14">
                  <c:v>0.96428571428571419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654-4F79-9FBA-583771CD7AC8}"/>
            </c:ext>
          </c:extLst>
        </c:ser>
        <c:ser>
          <c:idx val="12"/>
          <c:order val="12"/>
          <c:tx>
            <c:strRef>
              <c:f>Sheet2!$E$41</c:f>
              <c:strCache>
                <c:ptCount val="1"/>
                <c:pt idx="0">
                  <c:v>60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Sheet2!$F$28:$V$28</c:f>
              <c:strCache>
                <c:ptCount val="17"/>
                <c:pt idx="0">
                  <c:v>hh 16</c:v>
                </c:pt>
                <c:pt idx="1">
                  <c:v>hh 15</c:v>
                </c:pt>
                <c:pt idx="2">
                  <c:v>hh 14</c:v>
                </c:pt>
                <c:pt idx="3">
                  <c:v>hh 13</c:v>
                </c:pt>
                <c:pt idx="4">
                  <c:v>hh 12</c:v>
                </c:pt>
                <c:pt idx="5">
                  <c:v>hh 11</c:v>
                </c:pt>
                <c:pt idx="6">
                  <c:v>hh 10</c:v>
                </c:pt>
                <c:pt idx="7">
                  <c:v>hh 9</c:v>
                </c:pt>
                <c:pt idx="8">
                  <c:v>hh 8</c:v>
                </c:pt>
                <c:pt idx="9">
                  <c:v>hh 7</c:v>
                </c:pt>
                <c:pt idx="10">
                  <c:v>hh 6</c:v>
                </c:pt>
                <c:pt idx="11">
                  <c:v>hh 5</c:v>
                </c:pt>
                <c:pt idx="12">
                  <c:v>hh 4</c:v>
                </c:pt>
                <c:pt idx="13">
                  <c:v>hh 3</c:v>
                </c:pt>
                <c:pt idx="14">
                  <c:v>hh 2</c:v>
                </c:pt>
                <c:pt idx="15">
                  <c:v>hh 1</c:v>
                </c:pt>
                <c:pt idx="16">
                  <c:v>hh 0</c:v>
                </c:pt>
              </c:strCache>
            </c:strRef>
          </c:cat>
          <c:val>
            <c:numRef>
              <c:f>Sheet2!$F$41:$V$41</c:f>
              <c:numCache>
                <c:formatCode>General</c:formatCode>
                <c:ptCount val="17"/>
                <c:pt idx="0">
                  <c:v>0.10714285714285715</c:v>
                </c:pt>
                <c:pt idx="1">
                  <c:v>0.1142857142857143</c:v>
                </c:pt>
                <c:pt idx="2">
                  <c:v>0.12244897959183675</c:v>
                </c:pt>
                <c:pt idx="3">
                  <c:v>0.13186813186813187</c:v>
                </c:pt>
                <c:pt idx="4">
                  <c:v>0.14285714285714288</c:v>
                </c:pt>
                <c:pt idx="5">
                  <c:v>0.15584415584415587</c:v>
                </c:pt>
                <c:pt idx="6">
                  <c:v>0.17142857142857143</c:v>
                </c:pt>
                <c:pt idx="7">
                  <c:v>0.19047619047619049</c:v>
                </c:pt>
                <c:pt idx="8">
                  <c:v>0.2142857142857143</c:v>
                </c:pt>
                <c:pt idx="9">
                  <c:v>0.24489795918367349</c:v>
                </c:pt>
                <c:pt idx="10">
                  <c:v>0.28571428571428575</c:v>
                </c:pt>
                <c:pt idx="11">
                  <c:v>0.34285714285714286</c:v>
                </c:pt>
                <c:pt idx="12">
                  <c:v>0.4285714285714286</c:v>
                </c:pt>
                <c:pt idx="13">
                  <c:v>0.57142857142857151</c:v>
                </c:pt>
                <c:pt idx="14">
                  <c:v>0.85714285714285721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654-4F79-9FBA-583771CD7AC8}"/>
            </c:ext>
          </c:extLst>
        </c:ser>
        <c:ser>
          <c:idx val="13"/>
          <c:order val="13"/>
          <c:tx>
            <c:strRef>
              <c:f>Sheet2!$E$42</c:f>
              <c:strCache>
                <c:ptCount val="1"/>
                <c:pt idx="0">
                  <c:v>65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Sheet2!$F$28:$V$28</c:f>
              <c:strCache>
                <c:ptCount val="17"/>
                <c:pt idx="0">
                  <c:v>hh 16</c:v>
                </c:pt>
                <c:pt idx="1">
                  <c:v>hh 15</c:v>
                </c:pt>
                <c:pt idx="2">
                  <c:v>hh 14</c:v>
                </c:pt>
                <c:pt idx="3">
                  <c:v>hh 13</c:v>
                </c:pt>
                <c:pt idx="4">
                  <c:v>hh 12</c:v>
                </c:pt>
                <c:pt idx="5">
                  <c:v>hh 11</c:v>
                </c:pt>
                <c:pt idx="6">
                  <c:v>hh 10</c:v>
                </c:pt>
                <c:pt idx="7">
                  <c:v>hh 9</c:v>
                </c:pt>
                <c:pt idx="8">
                  <c:v>hh 8</c:v>
                </c:pt>
                <c:pt idx="9">
                  <c:v>hh 7</c:v>
                </c:pt>
                <c:pt idx="10">
                  <c:v>hh 6</c:v>
                </c:pt>
                <c:pt idx="11">
                  <c:v>hh 5</c:v>
                </c:pt>
                <c:pt idx="12">
                  <c:v>hh 4</c:v>
                </c:pt>
                <c:pt idx="13">
                  <c:v>hh 3</c:v>
                </c:pt>
                <c:pt idx="14">
                  <c:v>hh 2</c:v>
                </c:pt>
                <c:pt idx="15">
                  <c:v>hh 1</c:v>
                </c:pt>
                <c:pt idx="16">
                  <c:v>hh 0</c:v>
                </c:pt>
              </c:strCache>
            </c:strRef>
          </c:cat>
          <c:val>
            <c:numRef>
              <c:f>Sheet2!$F$42:$V$42</c:f>
              <c:numCache>
                <c:formatCode>General</c:formatCode>
                <c:ptCount val="17"/>
                <c:pt idx="0">
                  <c:v>9.3749999999999986E-2</c:v>
                </c:pt>
                <c:pt idx="1">
                  <c:v>9.9999999999999992E-2</c:v>
                </c:pt>
                <c:pt idx="2">
                  <c:v>0.10714285714285712</c:v>
                </c:pt>
                <c:pt idx="3">
                  <c:v>0.11538461538461536</c:v>
                </c:pt>
                <c:pt idx="4">
                  <c:v>0.12499999999999999</c:v>
                </c:pt>
                <c:pt idx="5">
                  <c:v>0.13636363636363635</c:v>
                </c:pt>
                <c:pt idx="6">
                  <c:v>0.14999999999999997</c:v>
                </c:pt>
                <c:pt idx="7">
                  <c:v>0.16666666666666663</c:v>
                </c:pt>
                <c:pt idx="8">
                  <c:v>0.18749999999999997</c:v>
                </c:pt>
                <c:pt idx="9">
                  <c:v>0.21428571428571425</c:v>
                </c:pt>
                <c:pt idx="10">
                  <c:v>0.24999999999999997</c:v>
                </c:pt>
                <c:pt idx="11">
                  <c:v>0.29999999999999993</c:v>
                </c:pt>
                <c:pt idx="12">
                  <c:v>0.37499999999999994</c:v>
                </c:pt>
                <c:pt idx="13">
                  <c:v>0.49999999999999994</c:v>
                </c:pt>
                <c:pt idx="14">
                  <c:v>0.74999999999999989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654-4F79-9FBA-583771CD7AC8}"/>
            </c:ext>
          </c:extLst>
        </c:ser>
        <c:ser>
          <c:idx val="14"/>
          <c:order val="14"/>
          <c:tx>
            <c:strRef>
              <c:f>Sheet2!$E$43</c:f>
              <c:strCache>
                <c:ptCount val="1"/>
                <c:pt idx="0">
                  <c:v>70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Sheet2!$F$28:$V$28</c:f>
              <c:strCache>
                <c:ptCount val="17"/>
                <c:pt idx="0">
                  <c:v>hh 16</c:v>
                </c:pt>
                <c:pt idx="1">
                  <c:v>hh 15</c:v>
                </c:pt>
                <c:pt idx="2">
                  <c:v>hh 14</c:v>
                </c:pt>
                <c:pt idx="3">
                  <c:v>hh 13</c:v>
                </c:pt>
                <c:pt idx="4">
                  <c:v>hh 12</c:v>
                </c:pt>
                <c:pt idx="5">
                  <c:v>hh 11</c:v>
                </c:pt>
                <c:pt idx="6">
                  <c:v>hh 10</c:v>
                </c:pt>
                <c:pt idx="7">
                  <c:v>hh 9</c:v>
                </c:pt>
                <c:pt idx="8">
                  <c:v>hh 8</c:v>
                </c:pt>
                <c:pt idx="9">
                  <c:v>hh 7</c:v>
                </c:pt>
                <c:pt idx="10">
                  <c:v>hh 6</c:v>
                </c:pt>
                <c:pt idx="11">
                  <c:v>hh 5</c:v>
                </c:pt>
                <c:pt idx="12">
                  <c:v>hh 4</c:v>
                </c:pt>
                <c:pt idx="13">
                  <c:v>hh 3</c:v>
                </c:pt>
                <c:pt idx="14">
                  <c:v>hh 2</c:v>
                </c:pt>
                <c:pt idx="15">
                  <c:v>hh 1</c:v>
                </c:pt>
                <c:pt idx="16">
                  <c:v>hh 0</c:v>
                </c:pt>
              </c:strCache>
            </c:strRef>
          </c:cat>
          <c:val>
            <c:numRef>
              <c:f>Sheet2!$F$43:$V$43</c:f>
              <c:numCache>
                <c:formatCode>General</c:formatCode>
                <c:ptCount val="17"/>
                <c:pt idx="0">
                  <c:v>8.0357142857142863E-2</c:v>
                </c:pt>
                <c:pt idx="1">
                  <c:v>8.5714285714285715E-2</c:v>
                </c:pt>
                <c:pt idx="2">
                  <c:v>9.1836734693877556E-2</c:v>
                </c:pt>
                <c:pt idx="3">
                  <c:v>9.8901098901098911E-2</c:v>
                </c:pt>
                <c:pt idx="4">
                  <c:v>0.10714285714285715</c:v>
                </c:pt>
                <c:pt idx="5">
                  <c:v>0.11688311688311689</c:v>
                </c:pt>
                <c:pt idx="6">
                  <c:v>0.12857142857142859</c:v>
                </c:pt>
                <c:pt idx="7">
                  <c:v>0.14285714285714288</c:v>
                </c:pt>
                <c:pt idx="8">
                  <c:v>0.16071428571428573</c:v>
                </c:pt>
                <c:pt idx="9">
                  <c:v>0.18367346938775511</c:v>
                </c:pt>
                <c:pt idx="10">
                  <c:v>0.2142857142857143</c:v>
                </c:pt>
                <c:pt idx="11">
                  <c:v>0.25714285714285717</c:v>
                </c:pt>
                <c:pt idx="12">
                  <c:v>0.32142857142857145</c:v>
                </c:pt>
                <c:pt idx="13">
                  <c:v>0.4285714285714286</c:v>
                </c:pt>
                <c:pt idx="14">
                  <c:v>0.6428571428571429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654-4F79-9FBA-583771CD7AC8}"/>
            </c:ext>
          </c:extLst>
        </c:ser>
        <c:ser>
          <c:idx val="15"/>
          <c:order val="15"/>
          <c:tx>
            <c:strRef>
              <c:f>Sheet2!$E$44</c:f>
              <c:strCache>
                <c:ptCount val="1"/>
                <c:pt idx="0">
                  <c:v>75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Sheet2!$F$28:$V$28</c:f>
              <c:strCache>
                <c:ptCount val="17"/>
                <c:pt idx="0">
                  <c:v>hh 16</c:v>
                </c:pt>
                <c:pt idx="1">
                  <c:v>hh 15</c:v>
                </c:pt>
                <c:pt idx="2">
                  <c:v>hh 14</c:v>
                </c:pt>
                <c:pt idx="3">
                  <c:v>hh 13</c:v>
                </c:pt>
                <c:pt idx="4">
                  <c:v>hh 12</c:v>
                </c:pt>
                <c:pt idx="5">
                  <c:v>hh 11</c:v>
                </c:pt>
                <c:pt idx="6">
                  <c:v>hh 10</c:v>
                </c:pt>
                <c:pt idx="7">
                  <c:v>hh 9</c:v>
                </c:pt>
                <c:pt idx="8">
                  <c:v>hh 8</c:v>
                </c:pt>
                <c:pt idx="9">
                  <c:v>hh 7</c:v>
                </c:pt>
                <c:pt idx="10">
                  <c:v>hh 6</c:v>
                </c:pt>
                <c:pt idx="11">
                  <c:v>hh 5</c:v>
                </c:pt>
                <c:pt idx="12">
                  <c:v>hh 4</c:v>
                </c:pt>
                <c:pt idx="13">
                  <c:v>hh 3</c:v>
                </c:pt>
                <c:pt idx="14">
                  <c:v>hh 2</c:v>
                </c:pt>
                <c:pt idx="15">
                  <c:v>hh 1</c:v>
                </c:pt>
                <c:pt idx="16">
                  <c:v>hh 0</c:v>
                </c:pt>
              </c:strCache>
            </c:strRef>
          </c:cat>
          <c:val>
            <c:numRef>
              <c:f>Sheet2!$F$44:$V$44</c:f>
              <c:numCache>
                <c:formatCode>General</c:formatCode>
                <c:ptCount val="17"/>
                <c:pt idx="0">
                  <c:v>6.6964285714285712E-2</c:v>
                </c:pt>
                <c:pt idx="1">
                  <c:v>7.1428571428571425E-2</c:v>
                </c:pt>
                <c:pt idx="2">
                  <c:v>7.6530612244897961E-2</c:v>
                </c:pt>
                <c:pt idx="3">
                  <c:v>8.2417582417582416E-2</c:v>
                </c:pt>
                <c:pt idx="4">
                  <c:v>8.9285714285714288E-2</c:v>
                </c:pt>
                <c:pt idx="5">
                  <c:v>9.7402597402597393E-2</c:v>
                </c:pt>
                <c:pt idx="6">
                  <c:v>0.10714285714285714</c:v>
                </c:pt>
                <c:pt idx="7">
                  <c:v>0.11904761904761904</c:v>
                </c:pt>
                <c:pt idx="8">
                  <c:v>0.13392857142857142</c:v>
                </c:pt>
                <c:pt idx="9">
                  <c:v>0.15306122448979592</c:v>
                </c:pt>
                <c:pt idx="10">
                  <c:v>0.17857142857142858</c:v>
                </c:pt>
                <c:pt idx="11">
                  <c:v>0.21428571428571427</c:v>
                </c:pt>
                <c:pt idx="12">
                  <c:v>0.26785714285714285</c:v>
                </c:pt>
                <c:pt idx="13">
                  <c:v>0.35714285714285715</c:v>
                </c:pt>
                <c:pt idx="14">
                  <c:v>0.5357142857142857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654-4F79-9FBA-583771CD7AC8}"/>
            </c:ext>
          </c:extLst>
        </c:ser>
        <c:ser>
          <c:idx val="16"/>
          <c:order val="16"/>
          <c:tx>
            <c:strRef>
              <c:f>Sheet2!$E$45</c:f>
              <c:strCache>
                <c:ptCount val="1"/>
                <c:pt idx="0">
                  <c:v>80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Sheet2!$F$28:$V$28</c:f>
              <c:strCache>
                <c:ptCount val="17"/>
                <c:pt idx="0">
                  <c:v>hh 16</c:v>
                </c:pt>
                <c:pt idx="1">
                  <c:v>hh 15</c:v>
                </c:pt>
                <c:pt idx="2">
                  <c:v>hh 14</c:v>
                </c:pt>
                <c:pt idx="3">
                  <c:v>hh 13</c:v>
                </c:pt>
                <c:pt idx="4">
                  <c:v>hh 12</c:v>
                </c:pt>
                <c:pt idx="5">
                  <c:v>hh 11</c:v>
                </c:pt>
                <c:pt idx="6">
                  <c:v>hh 10</c:v>
                </c:pt>
                <c:pt idx="7">
                  <c:v>hh 9</c:v>
                </c:pt>
                <c:pt idx="8">
                  <c:v>hh 8</c:v>
                </c:pt>
                <c:pt idx="9">
                  <c:v>hh 7</c:v>
                </c:pt>
                <c:pt idx="10">
                  <c:v>hh 6</c:v>
                </c:pt>
                <c:pt idx="11">
                  <c:v>hh 5</c:v>
                </c:pt>
                <c:pt idx="12">
                  <c:v>hh 4</c:v>
                </c:pt>
                <c:pt idx="13">
                  <c:v>hh 3</c:v>
                </c:pt>
                <c:pt idx="14">
                  <c:v>hh 2</c:v>
                </c:pt>
                <c:pt idx="15">
                  <c:v>hh 1</c:v>
                </c:pt>
                <c:pt idx="16">
                  <c:v>hh 0</c:v>
                </c:pt>
              </c:strCache>
            </c:strRef>
          </c:cat>
          <c:val>
            <c:numRef>
              <c:f>Sheet2!$F$45:$V$45</c:f>
              <c:numCache>
                <c:formatCode>General</c:formatCode>
                <c:ptCount val="17"/>
                <c:pt idx="0">
                  <c:v>5.3571428571428555E-2</c:v>
                </c:pt>
                <c:pt idx="1">
                  <c:v>5.7142857142857127E-2</c:v>
                </c:pt>
                <c:pt idx="2">
                  <c:v>6.1224489795918345E-2</c:v>
                </c:pt>
                <c:pt idx="3">
                  <c:v>6.5934065934065908E-2</c:v>
                </c:pt>
                <c:pt idx="4">
                  <c:v>7.1428571428571411E-2</c:v>
                </c:pt>
                <c:pt idx="5">
                  <c:v>7.7922077922077893E-2</c:v>
                </c:pt>
                <c:pt idx="6">
                  <c:v>8.5714285714285687E-2</c:v>
                </c:pt>
                <c:pt idx="7">
                  <c:v>9.5238095238095205E-2</c:v>
                </c:pt>
                <c:pt idx="8">
                  <c:v>0.10714285714285711</c:v>
                </c:pt>
                <c:pt idx="9">
                  <c:v>0.12244897959183669</c:v>
                </c:pt>
                <c:pt idx="10">
                  <c:v>0.14285714285714282</c:v>
                </c:pt>
                <c:pt idx="11">
                  <c:v>0.17142857142857137</c:v>
                </c:pt>
                <c:pt idx="12">
                  <c:v>0.21428571428571422</c:v>
                </c:pt>
                <c:pt idx="13">
                  <c:v>0.28571428571428564</c:v>
                </c:pt>
                <c:pt idx="14">
                  <c:v>0.42857142857142844</c:v>
                </c:pt>
                <c:pt idx="15">
                  <c:v>0.85714285714285687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654-4F79-9FBA-583771CD7AC8}"/>
            </c:ext>
          </c:extLst>
        </c:ser>
        <c:ser>
          <c:idx val="17"/>
          <c:order val="17"/>
          <c:tx>
            <c:strRef>
              <c:f>Sheet2!$E$46</c:f>
              <c:strCache>
                <c:ptCount val="1"/>
                <c:pt idx="0">
                  <c:v>85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Sheet2!$F$28:$V$28</c:f>
              <c:strCache>
                <c:ptCount val="17"/>
                <c:pt idx="0">
                  <c:v>hh 16</c:v>
                </c:pt>
                <c:pt idx="1">
                  <c:v>hh 15</c:v>
                </c:pt>
                <c:pt idx="2">
                  <c:v>hh 14</c:v>
                </c:pt>
                <c:pt idx="3">
                  <c:v>hh 13</c:v>
                </c:pt>
                <c:pt idx="4">
                  <c:v>hh 12</c:v>
                </c:pt>
                <c:pt idx="5">
                  <c:v>hh 11</c:v>
                </c:pt>
                <c:pt idx="6">
                  <c:v>hh 10</c:v>
                </c:pt>
                <c:pt idx="7">
                  <c:v>hh 9</c:v>
                </c:pt>
                <c:pt idx="8">
                  <c:v>hh 8</c:v>
                </c:pt>
                <c:pt idx="9">
                  <c:v>hh 7</c:v>
                </c:pt>
                <c:pt idx="10">
                  <c:v>hh 6</c:v>
                </c:pt>
                <c:pt idx="11">
                  <c:v>hh 5</c:v>
                </c:pt>
                <c:pt idx="12">
                  <c:v>hh 4</c:v>
                </c:pt>
                <c:pt idx="13">
                  <c:v>hh 3</c:v>
                </c:pt>
                <c:pt idx="14">
                  <c:v>hh 2</c:v>
                </c:pt>
                <c:pt idx="15">
                  <c:v>hh 1</c:v>
                </c:pt>
                <c:pt idx="16">
                  <c:v>hh 0</c:v>
                </c:pt>
              </c:strCache>
            </c:strRef>
          </c:cat>
          <c:val>
            <c:numRef>
              <c:f>Sheet2!$F$46:$V$46</c:f>
              <c:numCache>
                <c:formatCode>General</c:formatCode>
                <c:ptCount val="17"/>
                <c:pt idx="0">
                  <c:v>4.0178571428571432E-2</c:v>
                </c:pt>
                <c:pt idx="1">
                  <c:v>4.2857142857142858E-2</c:v>
                </c:pt>
                <c:pt idx="2">
                  <c:v>4.5918367346938778E-2</c:v>
                </c:pt>
                <c:pt idx="3">
                  <c:v>4.9450549450549455E-2</c:v>
                </c:pt>
                <c:pt idx="4">
                  <c:v>5.3571428571428575E-2</c:v>
                </c:pt>
                <c:pt idx="5">
                  <c:v>5.8441558441558447E-2</c:v>
                </c:pt>
                <c:pt idx="6">
                  <c:v>6.4285714285714293E-2</c:v>
                </c:pt>
                <c:pt idx="7">
                  <c:v>7.1428571428571438E-2</c:v>
                </c:pt>
                <c:pt idx="8">
                  <c:v>8.0357142857142863E-2</c:v>
                </c:pt>
                <c:pt idx="9">
                  <c:v>9.1836734693877556E-2</c:v>
                </c:pt>
                <c:pt idx="10">
                  <c:v>0.10714285714285715</c:v>
                </c:pt>
                <c:pt idx="11">
                  <c:v>0.12857142857142859</c:v>
                </c:pt>
                <c:pt idx="12">
                  <c:v>0.16071428571428573</c:v>
                </c:pt>
                <c:pt idx="13">
                  <c:v>0.2142857142857143</c:v>
                </c:pt>
                <c:pt idx="14">
                  <c:v>0.32142857142857145</c:v>
                </c:pt>
                <c:pt idx="15">
                  <c:v>0.6428571428571429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654-4F79-9FBA-583771CD7AC8}"/>
            </c:ext>
          </c:extLst>
        </c:ser>
        <c:ser>
          <c:idx val="18"/>
          <c:order val="18"/>
          <c:tx>
            <c:strRef>
              <c:f>Sheet2!$E$47</c:f>
              <c:strCache>
                <c:ptCount val="1"/>
                <c:pt idx="0">
                  <c:v>90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Sheet2!$F$28:$V$28</c:f>
              <c:strCache>
                <c:ptCount val="17"/>
                <c:pt idx="0">
                  <c:v>hh 16</c:v>
                </c:pt>
                <c:pt idx="1">
                  <c:v>hh 15</c:v>
                </c:pt>
                <c:pt idx="2">
                  <c:v>hh 14</c:v>
                </c:pt>
                <c:pt idx="3">
                  <c:v>hh 13</c:v>
                </c:pt>
                <c:pt idx="4">
                  <c:v>hh 12</c:v>
                </c:pt>
                <c:pt idx="5">
                  <c:v>hh 11</c:v>
                </c:pt>
                <c:pt idx="6">
                  <c:v>hh 10</c:v>
                </c:pt>
                <c:pt idx="7">
                  <c:v>hh 9</c:v>
                </c:pt>
                <c:pt idx="8">
                  <c:v>hh 8</c:v>
                </c:pt>
                <c:pt idx="9">
                  <c:v>hh 7</c:v>
                </c:pt>
                <c:pt idx="10">
                  <c:v>hh 6</c:v>
                </c:pt>
                <c:pt idx="11">
                  <c:v>hh 5</c:v>
                </c:pt>
                <c:pt idx="12">
                  <c:v>hh 4</c:v>
                </c:pt>
                <c:pt idx="13">
                  <c:v>hh 3</c:v>
                </c:pt>
                <c:pt idx="14">
                  <c:v>hh 2</c:v>
                </c:pt>
                <c:pt idx="15">
                  <c:v>hh 1</c:v>
                </c:pt>
                <c:pt idx="16">
                  <c:v>hh 0</c:v>
                </c:pt>
              </c:strCache>
            </c:strRef>
          </c:cat>
          <c:val>
            <c:numRef>
              <c:f>Sheet2!$F$47:$V$47</c:f>
              <c:numCache>
                <c:formatCode>General</c:formatCode>
                <c:ptCount val="17"/>
                <c:pt idx="0">
                  <c:v>2.6785714285714277E-2</c:v>
                </c:pt>
                <c:pt idx="1">
                  <c:v>2.8571428571428564E-2</c:v>
                </c:pt>
                <c:pt idx="2">
                  <c:v>3.0612244897959173E-2</c:v>
                </c:pt>
                <c:pt idx="3">
                  <c:v>3.2967032967032954E-2</c:v>
                </c:pt>
                <c:pt idx="4">
                  <c:v>3.5714285714285705E-2</c:v>
                </c:pt>
                <c:pt idx="5">
                  <c:v>3.8961038961038946E-2</c:v>
                </c:pt>
                <c:pt idx="6">
                  <c:v>4.2857142857142844E-2</c:v>
                </c:pt>
                <c:pt idx="7">
                  <c:v>4.7619047619047603E-2</c:v>
                </c:pt>
                <c:pt idx="8">
                  <c:v>5.3571428571428555E-2</c:v>
                </c:pt>
                <c:pt idx="9">
                  <c:v>6.1224489795918345E-2</c:v>
                </c:pt>
                <c:pt idx="10">
                  <c:v>7.1428571428571411E-2</c:v>
                </c:pt>
                <c:pt idx="11">
                  <c:v>8.5714285714285687E-2</c:v>
                </c:pt>
                <c:pt idx="12">
                  <c:v>0.10714285714285711</c:v>
                </c:pt>
                <c:pt idx="13">
                  <c:v>0.14285714285714282</c:v>
                </c:pt>
                <c:pt idx="14">
                  <c:v>0.21428571428571422</c:v>
                </c:pt>
                <c:pt idx="15">
                  <c:v>0.42857142857142844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654-4F79-9FBA-583771CD7AC8}"/>
            </c:ext>
          </c:extLst>
        </c:ser>
        <c:ser>
          <c:idx val="19"/>
          <c:order val="19"/>
          <c:tx>
            <c:strRef>
              <c:f>Sheet2!$E$48</c:f>
              <c:strCache>
                <c:ptCount val="1"/>
                <c:pt idx="0">
                  <c:v>95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Sheet2!$F$28:$V$28</c:f>
              <c:strCache>
                <c:ptCount val="17"/>
                <c:pt idx="0">
                  <c:v>hh 16</c:v>
                </c:pt>
                <c:pt idx="1">
                  <c:v>hh 15</c:v>
                </c:pt>
                <c:pt idx="2">
                  <c:v>hh 14</c:v>
                </c:pt>
                <c:pt idx="3">
                  <c:v>hh 13</c:v>
                </c:pt>
                <c:pt idx="4">
                  <c:v>hh 12</c:v>
                </c:pt>
                <c:pt idx="5">
                  <c:v>hh 11</c:v>
                </c:pt>
                <c:pt idx="6">
                  <c:v>hh 10</c:v>
                </c:pt>
                <c:pt idx="7">
                  <c:v>hh 9</c:v>
                </c:pt>
                <c:pt idx="8">
                  <c:v>hh 8</c:v>
                </c:pt>
                <c:pt idx="9">
                  <c:v>hh 7</c:v>
                </c:pt>
                <c:pt idx="10">
                  <c:v>hh 6</c:v>
                </c:pt>
                <c:pt idx="11">
                  <c:v>hh 5</c:v>
                </c:pt>
                <c:pt idx="12">
                  <c:v>hh 4</c:v>
                </c:pt>
                <c:pt idx="13">
                  <c:v>hh 3</c:v>
                </c:pt>
                <c:pt idx="14">
                  <c:v>hh 2</c:v>
                </c:pt>
                <c:pt idx="15">
                  <c:v>hh 1</c:v>
                </c:pt>
                <c:pt idx="16">
                  <c:v>hh 0</c:v>
                </c:pt>
              </c:strCache>
            </c:strRef>
          </c:cat>
          <c:val>
            <c:numRef>
              <c:f>Sheet2!$F$48:$V$48</c:f>
              <c:numCache>
                <c:formatCode>General</c:formatCode>
                <c:ptCount val="17"/>
                <c:pt idx="0">
                  <c:v>1.3392857142857154E-2</c:v>
                </c:pt>
                <c:pt idx="1">
                  <c:v>1.4285714285714297E-2</c:v>
                </c:pt>
                <c:pt idx="2">
                  <c:v>1.5306122448979605E-2</c:v>
                </c:pt>
                <c:pt idx="3">
                  <c:v>1.6483516483516498E-2</c:v>
                </c:pt>
                <c:pt idx="4">
                  <c:v>1.7857142857142873E-2</c:v>
                </c:pt>
                <c:pt idx="5">
                  <c:v>1.9480519480519497E-2</c:v>
                </c:pt>
                <c:pt idx="6">
                  <c:v>2.1428571428571446E-2</c:v>
                </c:pt>
                <c:pt idx="7">
                  <c:v>2.3809523809523829E-2</c:v>
                </c:pt>
                <c:pt idx="8">
                  <c:v>2.6785714285714309E-2</c:v>
                </c:pt>
                <c:pt idx="9">
                  <c:v>3.0612244897959211E-2</c:v>
                </c:pt>
                <c:pt idx="10">
                  <c:v>3.5714285714285747E-2</c:v>
                </c:pt>
                <c:pt idx="11">
                  <c:v>4.2857142857142892E-2</c:v>
                </c:pt>
                <c:pt idx="12">
                  <c:v>5.3571428571428617E-2</c:v>
                </c:pt>
                <c:pt idx="13">
                  <c:v>7.1428571428571494E-2</c:v>
                </c:pt>
                <c:pt idx="14">
                  <c:v>0.10714285714285723</c:v>
                </c:pt>
                <c:pt idx="15">
                  <c:v>0.21428571428571447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654-4F79-9FBA-583771CD7AC8}"/>
            </c:ext>
          </c:extLst>
        </c:ser>
        <c:ser>
          <c:idx val="20"/>
          <c:order val="20"/>
          <c:tx>
            <c:strRef>
              <c:f>Sheet2!$E$49</c:f>
              <c:strCache>
                <c:ptCount val="1"/>
                <c:pt idx="0">
                  <c:v>100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Sheet2!$F$28:$V$28</c:f>
              <c:strCache>
                <c:ptCount val="17"/>
                <c:pt idx="0">
                  <c:v>hh 16</c:v>
                </c:pt>
                <c:pt idx="1">
                  <c:v>hh 15</c:v>
                </c:pt>
                <c:pt idx="2">
                  <c:v>hh 14</c:v>
                </c:pt>
                <c:pt idx="3">
                  <c:v>hh 13</c:v>
                </c:pt>
                <c:pt idx="4">
                  <c:v>hh 12</c:v>
                </c:pt>
                <c:pt idx="5">
                  <c:v>hh 11</c:v>
                </c:pt>
                <c:pt idx="6">
                  <c:v>hh 10</c:v>
                </c:pt>
                <c:pt idx="7">
                  <c:v>hh 9</c:v>
                </c:pt>
                <c:pt idx="8">
                  <c:v>hh 8</c:v>
                </c:pt>
                <c:pt idx="9">
                  <c:v>hh 7</c:v>
                </c:pt>
                <c:pt idx="10">
                  <c:v>hh 6</c:v>
                </c:pt>
                <c:pt idx="11">
                  <c:v>hh 5</c:v>
                </c:pt>
                <c:pt idx="12">
                  <c:v>hh 4</c:v>
                </c:pt>
                <c:pt idx="13">
                  <c:v>hh 3</c:v>
                </c:pt>
                <c:pt idx="14">
                  <c:v>hh 2</c:v>
                </c:pt>
                <c:pt idx="15">
                  <c:v>hh 1</c:v>
                </c:pt>
                <c:pt idx="16">
                  <c:v>hh 0</c:v>
                </c:pt>
              </c:strCache>
            </c:strRef>
          </c:cat>
          <c:val>
            <c:numRef>
              <c:f>Sheet2!$F$49:$V$49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654-4F79-9FBA-583771CD7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9884815"/>
        <c:axId val="1709868495"/>
      </c:lineChart>
      <c:catAx>
        <c:axId val="1709884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Remain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868495"/>
        <c:crosses val="autoZero"/>
        <c:auto val="1"/>
        <c:lblAlgn val="ctr"/>
        <c:lblOffset val="100"/>
        <c:noMultiLvlLbl val="0"/>
      </c:catAx>
      <c:valAx>
        <c:axId val="170986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88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6158945745088884E-2"/>
          <c:y val="0.90909990799176732"/>
          <c:w val="0.96628871761518209"/>
          <c:h val="7.66413421038991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(exp-soc)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Sheet2!$Z$28</c:f>
              <c:strCache>
                <c:ptCount val="1"/>
                <c:pt idx="0">
                  <c:v>(exp-soc)^2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Sheet2!$Y$29:$Y$49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Sheet2!$Z$29:$Z$49</c:f>
              <c:numCache>
                <c:formatCode>General</c:formatCode>
                <c:ptCount val="21"/>
                <c:pt idx="0">
                  <c:v>-1</c:v>
                </c:pt>
                <c:pt idx="1">
                  <c:v>-0.95</c:v>
                </c:pt>
                <c:pt idx="2">
                  <c:v>-0.9</c:v>
                </c:pt>
                <c:pt idx="3">
                  <c:v>-0.85</c:v>
                </c:pt>
                <c:pt idx="4">
                  <c:v>-0.8</c:v>
                </c:pt>
                <c:pt idx="5">
                  <c:v>-0.75</c:v>
                </c:pt>
                <c:pt idx="6">
                  <c:v>-0.7</c:v>
                </c:pt>
                <c:pt idx="7">
                  <c:v>-0.65</c:v>
                </c:pt>
                <c:pt idx="8">
                  <c:v>-0.6</c:v>
                </c:pt>
                <c:pt idx="9">
                  <c:v>-0.55000000000000004</c:v>
                </c:pt>
                <c:pt idx="10">
                  <c:v>-0.5</c:v>
                </c:pt>
                <c:pt idx="11">
                  <c:v>-0.44999999999999996</c:v>
                </c:pt>
                <c:pt idx="12">
                  <c:v>-0.4</c:v>
                </c:pt>
                <c:pt idx="13">
                  <c:v>-0.35</c:v>
                </c:pt>
                <c:pt idx="14">
                  <c:v>-0.30000000000000004</c:v>
                </c:pt>
                <c:pt idx="15">
                  <c:v>-0.25</c:v>
                </c:pt>
                <c:pt idx="16">
                  <c:v>-0.19999999999999996</c:v>
                </c:pt>
                <c:pt idx="17">
                  <c:v>-0.15000000000000002</c:v>
                </c:pt>
                <c:pt idx="18">
                  <c:v>-9.9999999999999978E-2</c:v>
                </c:pt>
                <c:pt idx="19">
                  <c:v>-5.0000000000000044E-2</c:v>
                </c:pt>
                <c:pt idx="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9E-4C20-81EA-31C162AF3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3828607"/>
        <c:axId val="1963812287"/>
      </c:scatterChart>
      <c:valAx>
        <c:axId val="1963828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SOC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812287"/>
        <c:crosses val="autoZero"/>
        <c:crossBetween val="midCat"/>
      </c:valAx>
      <c:valAx>
        <c:axId val="196381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Penalty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828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Sheet2!$BO$28</c:f>
              <c:strCache>
                <c:ptCount val="1"/>
                <c:pt idx="0">
                  <c:v>hh 16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Sheet2!$BM$29:$BM$49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Sheet2!$BO$29:$BO$49</c:f>
              <c:numCache>
                <c:formatCode>General</c:formatCode>
                <c:ptCount val="21"/>
                <c:pt idx="0">
                  <c:v>-0.26785714285714285</c:v>
                </c:pt>
                <c:pt idx="1">
                  <c:v>-0.2790178571428571</c:v>
                </c:pt>
                <c:pt idx="2">
                  <c:v>-0.29285714285714287</c:v>
                </c:pt>
                <c:pt idx="3">
                  <c:v>-0.30937499999999996</c:v>
                </c:pt>
                <c:pt idx="4">
                  <c:v>-0.32857142857142863</c:v>
                </c:pt>
                <c:pt idx="5">
                  <c:v>-0.35044642857142855</c:v>
                </c:pt>
                <c:pt idx="6">
                  <c:v>-0.375</c:v>
                </c:pt>
                <c:pt idx="7">
                  <c:v>-0.40223214285714287</c:v>
                </c:pt>
                <c:pt idx="8">
                  <c:v>-0.43214285714285716</c:v>
                </c:pt>
                <c:pt idx="9">
                  <c:v>-0.46473214285714287</c:v>
                </c:pt>
                <c:pt idx="10">
                  <c:v>-0.5</c:v>
                </c:pt>
                <c:pt idx="11">
                  <c:v>-0.5379464285714286</c:v>
                </c:pt>
                <c:pt idx="12">
                  <c:v>-0.57857142857142851</c:v>
                </c:pt>
                <c:pt idx="13">
                  <c:v>-0.62187500000000007</c:v>
                </c:pt>
                <c:pt idx="14">
                  <c:v>-0.66785714285714282</c:v>
                </c:pt>
                <c:pt idx="15">
                  <c:v>-0.7165178571428571</c:v>
                </c:pt>
                <c:pt idx="16">
                  <c:v>-0.76785714285714279</c:v>
                </c:pt>
                <c:pt idx="17">
                  <c:v>-0.82187500000000002</c:v>
                </c:pt>
                <c:pt idx="18">
                  <c:v>-0.87857142857142856</c:v>
                </c:pt>
                <c:pt idx="19">
                  <c:v>-0.93794642857142851</c:v>
                </c:pt>
                <c:pt idx="20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12-434B-BEC0-29156B0B2456}"/>
            </c:ext>
          </c:extLst>
        </c:ser>
        <c:ser>
          <c:idx val="1"/>
          <c:order val="1"/>
          <c:tx>
            <c:strRef>
              <c:f>Sheet2!$BP$28</c:f>
              <c:strCache>
                <c:ptCount val="1"/>
                <c:pt idx="0">
                  <c:v>hh 15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Sheet2!$BM$29:$BM$49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Sheet2!$BP$29:$BP$49</c:f>
              <c:numCache>
                <c:formatCode>General</c:formatCode>
                <c:ptCount val="21"/>
                <c:pt idx="0">
                  <c:v>-0.2857142857142857</c:v>
                </c:pt>
                <c:pt idx="1">
                  <c:v>-0.29428571428571426</c:v>
                </c:pt>
                <c:pt idx="2">
                  <c:v>-0.30571428571428572</c:v>
                </c:pt>
                <c:pt idx="3">
                  <c:v>-0.32</c:v>
                </c:pt>
                <c:pt idx="4">
                  <c:v>-0.33714285714285719</c:v>
                </c:pt>
                <c:pt idx="5">
                  <c:v>-0.35714285714285715</c:v>
                </c:pt>
                <c:pt idx="6">
                  <c:v>-0.38</c:v>
                </c:pt>
                <c:pt idx="7">
                  <c:v>-0.40571428571428569</c:v>
                </c:pt>
                <c:pt idx="8">
                  <c:v>-0.43428571428571427</c:v>
                </c:pt>
                <c:pt idx="9">
                  <c:v>-0.46571428571428575</c:v>
                </c:pt>
                <c:pt idx="10">
                  <c:v>-0.5</c:v>
                </c:pt>
                <c:pt idx="11">
                  <c:v>-0.53714285714285714</c:v>
                </c:pt>
                <c:pt idx="12">
                  <c:v>-0.57714285714285707</c:v>
                </c:pt>
                <c:pt idx="13">
                  <c:v>-0.62000000000000011</c:v>
                </c:pt>
                <c:pt idx="14">
                  <c:v>-0.66571428571428559</c:v>
                </c:pt>
                <c:pt idx="15">
                  <c:v>-0.7142857142857143</c:v>
                </c:pt>
                <c:pt idx="16">
                  <c:v>-0.76571428571428579</c:v>
                </c:pt>
                <c:pt idx="17">
                  <c:v>-0.82000000000000006</c:v>
                </c:pt>
                <c:pt idx="18">
                  <c:v>-0.87714285714285722</c:v>
                </c:pt>
                <c:pt idx="19">
                  <c:v>-0.93714285714285694</c:v>
                </c:pt>
                <c:pt idx="20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12-434B-BEC0-29156B0B2456}"/>
            </c:ext>
          </c:extLst>
        </c:ser>
        <c:ser>
          <c:idx val="2"/>
          <c:order val="2"/>
          <c:tx>
            <c:strRef>
              <c:f>Sheet2!$BQ$28</c:f>
              <c:strCache>
                <c:ptCount val="1"/>
                <c:pt idx="0">
                  <c:v>hh 14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Sheet2!$BM$29:$BM$49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Sheet2!$BQ$29:$BQ$49</c:f>
              <c:numCache>
                <c:formatCode>General</c:formatCode>
                <c:ptCount val="21"/>
                <c:pt idx="0">
                  <c:v>-0.30612244897959184</c:v>
                </c:pt>
                <c:pt idx="1">
                  <c:v>-0.31173469387755098</c:v>
                </c:pt>
                <c:pt idx="2">
                  <c:v>-0.32040816326530619</c:v>
                </c:pt>
                <c:pt idx="3">
                  <c:v>-0.33214285714285718</c:v>
                </c:pt>
                <c:pt idx="4">
                  <c:v>-0.34693877551020413</c:v>
                </c:pt>
                <c:pt idx="5">
                  <c:v>-0.36479591836734693</c:v>
                </c:pt>
                <c:pt idx="6">
                  <c:v>-0.38571428571428568</c:v>
                </c:pt>
                <c:pt idx="7">
                  <c:v>-0.40969387755102038</c:v>
                </c:pt>
                <c:pt idx="8">
                  <c:v>-0.43673469387755104</c:v>
                </c:pt>
                <c:pt idx="9">
                  <c:v>-0.46683673469387754</c:v>
                </c:pt>
                <c:pt idx="10">
                  <c:v>-0.5</c:v>
                </c:pt>
                <c:pt idx="11">
                  <c:v>-0.53622448979591841</c:v>
                </c:pt>
                <c:pt idx="12">
                  <c:v>-0.57551020408163267</c:v>
                </c:pt>
                <c:pt idx="13">
                  <c:v>-0.61785714285714288</c:v>
                </c:pt>
                <c:pt idx="14">
                  <c:v>-0.66326530612244894</c:v>
                </c:pt>
                <c:pt idx="15">
                  <c:v>-0.71173469387755095</c:v>
                </c:pt>
                <c:pt idx="16">
                  <c:v>-0.76326530612244914</c:v>
                </c:pt>
                <c:pt idx="17">
                  <c:v>-0.81785714285714295</c:v>
                </c:pt>
                <c:pt idx="18">
                  <c:v>-0.87551020408163271</c:v>
                </c:pt>
                <c:pt idx="19">
                  <c:v>-0.93622448979591832</c:v>
                </c:pt>
                <c:pt idx="20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12-434B-BEC0-29156B0B2456}"/>
            </c:ext>
          </c:extLst>
        </c:ser>
        <c:ser>
          <c:idx val="3"/>
          <c:order val="3"/>
          <c:tx>
            <c:strRef>
              <c:f>Sheet2!$BR$28</c:f>
              <c:strCache>
                <c:ptCount val="1"/>
                <c:pt idx="0">
                  <c:v>hh 13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Sheet2!$BM$29:$BM$49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Sheet2!$BR$29:$BR$49</c:f>
              <c:numCache>
                <c:formatCode>General</c:formatCode>
                <c:ptCount val="21"/>
                <c:pt idx="0">
                  <c:v>-0.32967032967032966</c:v>
                </c:pt>
                <c:pt idx="1">
                  <c:v>-0.33186813186813185</c:v>
                </c:pt>
                <c:pt idx="2">
                  <c:v>-0.33736263736263739</c:v>
                </c:pt>
                <c:pt idx="3">
                  <c:v>-0.34615384615384615</c:v>
                </c:pt>
                <c:pt idx="4">
                  <c:v>-0.3582417582417583</c:v>
                </c:pt>
                <c:pt idx="5">
                  <c:v>-0.37362637362637363</c:v>
                </c:pt>
                <c:pt idx="6">
                  <c:v>-0.39230769230769225</c:v>
                </c:pt>
                <c:pt idx="7">
                  <c:v>-0.41428571428571426</c:v>
                </c:pt>
                <c:pt idx="8">
                  <c:v>-0.43956043956043955</c:v>
                </c:pt>
                <c:pt idx="9">
                  <c:v>-0.46813186813186813</c:v>
                </c:pt>
                <c:pt idx="10">
                  <c:v>-0.5</c:v>
                </c:pt>
                <c:pt idx="11">
                  <c:v>-0.53516483516483526</c:v>
                </c:pt>
                <c:pt idx="12">
                  <c:v>-0.5736263736263737</c:v>
                </c:pt>
                <c:pt idx="13">
                  <c:v>-0.61538461538461531</c:v>
                </c:pt>
                <c:pt idx="14">
                  <c:v>-0.66043956043956042</c:v>
                </c:pt>
                <c:pt idx="15">
                  <c:v>-0.70879120879120883</c:v>
                </c:pt>
                <c:pt idx="16">
                  <c:v>-0.7604395604395604</c:v>
                </c:pt>
                <c:pt idx="17">
                  <c:v>-0.81538461538461526</c:v>
                </c:pt>
                <c:pt idx="18">
                  <c:v>-0.87362637362637363</c:v>
                </c:pt>
                <c:pt idx="19">
                  <c:v>-0.93516483516483506</c:v>
                </c:pt>
                <c:pt idx="20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012-434B-BEC0-29156B0B2456}"/>
            </c:ext>
          </c:extLst>
        </c:ser>
        <c:ser>
          <c:idx val="4"/>
          <c:order val="4"/>
          <c:tx>
            <c:strRef>
              <c:f>Sheet2!$BS$28</c:f>
              <c:strCache>
                <c:ptCount val="1"/>
                <c:pt idx="0">
                  <c:v>hh 12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Sheet2!$BM$29:$BM$49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Sheet2!$BS$29:$BS$49</c:f>
              <c:numCache>
                <c:formatCode>General</c:formatCode>
                <c:ptCount val="21"/>
                <c:pt idx="0">
                  <c:v>-0.35714285714285715</c:v>
                </c:pt>
                <c:pt idx="1">
                  <c:v>-0.35535714285714282</c:v>
                </c:pt>
                <c:pt idx="2">
                  <c:v>-0.35714285714285721</c:v>
                </c:pt>
                <c:pt idx="3">
                  <c:v>-0.36249999999999993</c:v>
                </c:pt>
                <c:pt idx="4">
                  <c:v>-0.37142857142857144</c:v>
                </c:pt>
                <c:pt idx="5">
                  <c:v>-0.38392857142857145</c:v>
                </c:pt>
                <c:pt idx="6">
                  <c:v>-0.39999999999999991</c:v>
                </c:pt>
                <c:pt idx="7">
                  <c:v>-0.4196428571428571</c:v>
                </c:pt>
                <c:pt idx="8">
                  <c:v>-0.44285714285714284</c:v>
                </c:pt>
                <c:pt idx="9">
                  <c:v>-0.4696428571428572</c:v>
                </c:pt>
                <c:pt idx="10">
                  <c:v>-0.5</c:v>
                </c:pt>
                <c:pt idx="11">
                  <c:v>-0.53392857142857142</c:v>
                </c:pt>
                <c:pt idx="12">
                  <c:v>-0.5714285714285714</c:v>
                </c:pt>
                <c:pt idx="13">
                  <c:v>-0.61249999999999993</c:v>
                </c:pt>
                <c:pt idx="14">
                  <c:v>-0.65714285714285703</c:v>
                </c:pt>
                <c:pt idx="15">
                  <c:v>-0.7053571428571429</c:v>
                </c:pt>
                <c:pt idx="16">
                  <c:v>-0.75714285714285712</c:v>
                </c:pt>
                <c:pt idx="17">
                  <c:v>-0.81249999999999989</c:v>
                </c:pt>
                <c:pt idx="18">
                  <c:v>-0.87142857142857144</c:v>
                </c:pt>
                <c:pt idx="19">
                  <c:v>-0.93392857142857133</c:v>
                </c:pt>
                <c:pt idx="20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012-434B-BEC0-29156B0B2456}"/>
            </c:ext>
          </c:extLst>
        </c:ser>
        <c:ser>
          <c:idx val="5"/>
          <c:order val="5"/>
          <c:tx>
            <c:strRef>
              <c:f>Sheet2!$BT$28</c:f>
              <c:strCache>
                <c:ptCount val="1"/>
                <c:pt idx="0">
                  <c:v>hh 11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Sheet2!$BM$29:$BM$49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Sheet2!$BT$29:$BT$49</c:f>
              <c:numCache>
                <c:formatCode>General</c:formatCode>
                <c:ptCount val="21"/>
                <c:pt idx="0">
                  <c:v>-0.38961038961038957</c:v>
                </c:pt>
                <c:pt idx="1">
                  <c:v>-0.38311688311688308</c:v>
                </c:pt>
                <c:pt idx="2">
                  <c:v>-0.38051948051948054</c:v>
                </c:pt>
                <c:pt idx="3">
                  <c:v>-0.38181818181818178</c:v>
                </c:pt>
                <c:pt idx="4">
                  <c:v>-0.38701298701298703</c:v>
                </c:pt>
                <c:pt idx="5">
                  <c:v>-0.39610389610389612</c:v>
                </c:pt>
                <c:pt idx="6">
                  <c:v>-0.40909090909090906</c:v>
                </c:pt>
                <c:pt idx="7">
                  <c:v>-0.42597402597402595</c:v>
                </c:pt>
                <c:pt idx="8">
                  <c:v>-0.44675324675324679</c:v>
                </c:pt>
                <c:pt idx="9">
                  <c:v>-0.47142857142857147</c:v>
                </c:pt>
                <c:pt idx="10">
                  <c:v>-0.5</c:v>
                </c:pt>
                <c:pt idx="11">
                  <c:v>-0.53246753246753253</c:v>
                </c:pt>
                <c:pt idx="12">
                  <c:v>-0.5688311688311688</c:v>
                </c:pt>
                <c:pt idx="13">
                  <c:v>-0.60909090909090913</c:v>
                </c:pt>
                <c:pt idx="14">
                  <c:v>-0.65324675324675319</c:v>
                </c:pt>
                <c:pt idx="15">
                  <c:v>-0.70129870129870131</c:v>
                </c:pt>
                <c:pt idx="16">
                  <c:v>-0.75324675324675328</c:v>
                </c:pt>
                <c:pt idx="17">
                  <c:v>-0.80909090909090908</c:v>
                </c:pt>
                <c:pt idx="18">
                  <c:v>-0.86883116883116873</c:v>
                </c:pt>
                <c:pt idx="19">
                  <c:v>-0.93246753246753233</c:v>
                </c:pt>
                <c:pt idx="20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012-434B-BEC0-29156B0B2456}"/>
            </c:ext>
          </c:extLst>
        </c:ser>
        <c:ser>
          <c:idx val="6"/>
          <c:order val="6"/>
          <c:tx>
            <c:strRef>
              <c:f>Sheet2!$BU$28</c:f>
              <c:strCache>
                <c:ptCount val="1"/>
                <c:pt idx="0">
                  <c:v>hh 10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Sheet2!$BM$29:$BM$49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Sheet2!$BU$29:$BU$49</c:f>
              <c:numCache>
                <c:formatCode>General</c:formatCode>
                <c:ptCount val="21"/>
                <c:pt idx="0">
                  <c:v>-0.42857142857142855</c:v>
                </c:pt>
                <c:pt idx="1">
                  <c:v>-0.41642857142857143</c:v>
                </c:pt>
                <c:pt idx="2">
                  <c:v>-0.40857142857142859</c:v>
                </c:pt>
                <c:pt idx="3">
                  <c:v>-0.40499999999999997</c:v>
                </c:pt>
                <c:pt idx="4">
                  <c:v>-0.40571428571428569</c:v>
                </c:pt>
                <c:pt idx="5">
                  <c:v>-0.41071428571428575</c:v>
                </c:pt>
                <c:pt idx="6">
                  <c:v>-0.41999999999999993</c:v>
                </c:pt>
                <c:pt idx="7">
                  <c:v>-0.43357142857142861</c:v>
                </c:pt>
                <c:pt idx="8">
                  <c:v>-0.4514285714285714</c:v>
                </c:pt>
                <c:pt idx="9">
                  <c:v>-0.47357142857142853</c:v>
                </c:pt>
                <c:pt idx="10">
                  <c:v>-0.5</c:v>
                </c:pt>
                <c:pt idx="11">
                  <c:v>-0.53071428571428569</c:v>
                </c:pt>
                <c:pt idx="12">
                  <c:v>-0.56571428571428573</c:v>
                </c:pt>
                <c:pt idx="13">
                  <c:v>-0.60500000000000009</c:v>
                </c:pt>
                <c:pt idx="14">
                  <c:v>-0.64857142857142858</c:v>
                </c:pt>
                <c:pt idx="15">
                  <c:v>-0.69642857142857151</c:v>
                </c:pt>
                <c:pt idx="16">
                  <c:v>-0.74857142857142867</c:v>
                </c:pt>
                <c:pt idx="17">
                  <c:v>-0.80500000000000005</c:v>
                </c:pt>
                <c:pt idx="18">
                  <c:v>-0.86571428571428577</c:v>
                </c:pt>
                <c:pt idx="19">
                  <c:v>-0.93071428571428572</c:v>
                </c:pt>
                <c:pt idx="20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012-434B-BEC0-29156B0B2456}"/>
            </c:ext>
          </c:extLst>
        </c:ser>
        <c:ser>
          <c:idx val="7"/>
          <c:order val="7"/>
          <c:tx>
            <c:strRef>
              <c:f>Sheet2!$BV$28</c:f>
              <c:strCache>
                <c:ptCount val="1"/>
                <c:pt idx="0">
                  <c:v>hh 9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Sheet2!$BM$29:$BM$49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Sheet2!$BV$29:$BV$49</c:f>
              <c:numCache>
                <c:formatCode>General</c:formatCode>
                <c:ptCount val="21"/>
                <c:pt idx="0">
                  <c:v>-0.47619047619047616</c:v>
                </c:pt>
                <c:pt idx="1">
                  <c:v>-0.45714285714285707</c:v>
                </c:pt>
                <c:pt idx="2">
                  <c:v>-0.44285714285714289</c:v>
                </c:pt>
                <c:pt idx="3">
                  <c:v>-0.43333333333333335</c:v>
                </c:pt>
                <c:pt idx="4">
                  <c:v>-0.4285714285714286</c:v>
                </c:pt>
                <c:pt idx="5">
                  <c:v>-0.42857142857142855</c:v>
                </c:pt>
                <c:pt idx="6">
                  <c:v>-0.43333333333333324</c:v>
                </c:pt>
                <c:pt idx="7">
                  <c:v>-0.44285714285714284</c:v>
                </c:pt>
                <c:pt idx="8">
                  <c:v>-0.45714285714285718</c:v>
                </c:pt>
                <c:pt idx="9">
                  <c:v>-0.47619047619047628</c:v>
                </c:pt>
                <c:pt idx="10">
                  <c:v>-0.5</c:v>
                </c:pt>
                <c:pt idx="11">
                  <c:v>-0.52857142857142858</c:v>
                </c:pt>
                <c:pt idx="12">
                  <c:v>-0.56190476190476191</c:v>
                </c:pt>
                <c:pt idx="13">
                  <c:v>-0.60000000000000009</c:v>
                </c:pt>
                <c:pt idx="14">
                  <c:v>-0.64285714285714279</c:v>
                </c:pt>
                <c:pt idx="15">
                  <c:v>-0.69047619047619047</c:v>
                </c:pt>
                <c:pt idx="16">
                  <c:v>-0.74285714285714288</c:v>
                </c:pt>
                <c:pt idx="17">
                  <c:v>-0.79999999999999993</c:v>
                </c:pt>
                <c:pt idx="18">
                  <c:v>-0.86190476190476195</c:v>
                </c:pt>
                <c:pt idx="19">
                  <c:v>-0.92857142857142849</c:v>
                </c:pt>
                <c:pt idx="20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012-434B-BEC0-29156B0B2456}"/>
            </c:ext>
          </c:extLst>
        </c:ser>
        <c:ser>
          <c:idx val="8"/>
          <c:order val="8"/>
          <c:tx>
            <c:strRef>
              <c:f>Sheet2!$BW$28</c:f>
              <c:strCache>
                <c:ptCount val="1"/>
                <c:pt idx="0">
                  <c:v>hh 8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Sheet2!$BM$29:$BM$49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Sheet2!$BW$29:$BW$49</c:f>
              <c:numCache>
                <c:formatCode>General</c:formatCode>
                <c:ptCount val="21"/>
                <c:pt idx="0">
                  <c:v>-0.5357142857142857</c:v>
                </c:pt>
                <c:pt idx="1">
                  <c:v>-0.50803571428571426</c:v>
                </c:pt>
                <c:pt idx="2">
                  <c:v>-0.48571428571428571</c:v>
                </c:pt>
                <c:pt idx="3">
                  <c:v>-0.46874999999999994</c:v>
                </c:pt>
                <c:pt idx="4">
                  <c:v>-0.45714285714285718</c:v>
                </c:pt>
                <c:pt idx="5">
                  <c:v>-0.4508928571428571</c:v>
                </c:pt>
                <c:pt idx="6">
                  <c:v>-0.44999999999999996</c:v>
                </c:pt>
                <c:pt idx="7">
                  <c:v>-0.45446428571428571</c:v>
                </c:pt>
                <c:pt idx="8">
                  <c:v>-0.4642857142857143</c:v>
                </c:pt>
                <c:pt idx="9">
                  <c:v>-0.47946428571428568</c:v>
                </c:pt>
                <c:pt idx="10">
                  <c:v>-0.5</c:v>
                </c:pt>
                <c:pt idx="11">
                  <c:v>-0.52589285714285716</c:v>
                </c:pt>
                <c:pt idx="12">
                  <c:v>-0.55714285714285716</c:v>
                </c:pt>
                <c:pt idx="13">
                  <c:v>-0.59375</c:v>
                </c:pt>
                <c:pt idx="14">
                  <c:v>-0.63571428571428579</c:v>
                </c:pt>
                <c:pt idx="15">
                  <c:v>-0.6830357142857143</c:v>
                </c:pt>
                <c:pt idx="16">
                  <c:v>-0.73571428571428588</c:v>
                </c:pt>
                <c:pt idx="17">
                  <c:v>-0.79374999999999996</c:v>
                </c:pt>
                <c:pt idx="18">
                  <c:v>-0.8571428571428571</c:v>
                </c:pt>
                <c:pt idx="19">
                  <c:v>-0.92589285714285718</c:v>
                </c:pt>
                <c:pt idx="20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012-434B-BEC0-29156B0B2456}"/>
            </c:ext>
          </c:extLst>
        </c:ser>
        <c:ser>
          <c:idx val="9"/>
          <c:order val="9"/>
          <c:tx>
            <c:strRef>
              <c:f>Sheet2!$BX$28</c:f>
              <c:strCache>
                <c:ptCount val="1"/>
                <c:pt idx="0">
                  <c:v>hh 7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Sheet2!$BM$29:$BM$49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Sheet2!$BX$29:$BX$49</c:f>
              <c:numCache>
                <c:formatCode>General</c:formatCode>
                <c:ptCount val="21"/>
                <c:pt idx="0">
                  <c:v>-0.61224489795918369</c:v>
                </c:pt>
                <c:pt idx="1">
                  <c:v>-0.57346938775510192</c:v>
                </c:pt>
                <c:pt idx="2">
                  <c:v>-0.54081632653061229</c:v>
                </c:pt>
                <c:pt idx="3">
                  <c:v>-0.51428571428571435</c:v>
                </c:pt>
                <c:pt idx="4">
                  <c:v>-0.4938775510204082</c:v>
                </c:pt>
                <c:pt idx="5">
                  <c:v>-0.47959183673469391</c:v>
                </c:pt>
                <c:pt idx="6">
                  <c:v>-0.47142857142857142</c:v>
                </c:pt>
                <c:pt idx="7">
                  <c:v>-0.46938775510204078</c:v>
                </c:pt>
                <c:pt idx="8">
                  <c:v>-0.47346938775510206</c:v>
                </c:pt>
                <c:pt idx="9">
                  <c:v>-0.48367346938775507</c:v>
                </c:pt>
                <c:pt idx="10">
                  <c:v>-0.5</c:v>
                </c:pt>
                <c:pt idx="11">
                  <c:v>-0.52244897959183678</c:v>
                </c:pt>
                <c:pt idx="12">
                  <c:v>-0.55102040816326525</c:v>
                </c:pt>
                <c:pt idx="13">
                  <c:v>-0.58571428571428574</c:v>
                </c:pt>
                <c:pt idx="14">
                  <c:v>-0.62653061224489792</c:v>
                </c:pt>
                <c:pt idx="15">
                  <c:v>-0.6734693877551019</c:v>
                </c:pt>
                <c:pt idx="16">
                  <c:v>-0.72653061224489801</c:v>
                </c:pt>
                <c:pt idx="17">
                  <c:v>-0.7857142857142857</c:v>
                </c:pt>
                <c:pt idx="18">
                  <c:v>-0.8510204081632653</c:v>
                </c:pt>
                <c:pt idx="19">
                  <c:v>-0.92244897959183658</c:v>
                </c:pt>
                <c:pt idx="20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012-434B-BEC0-29156B0B2456}"/>
            </c:ext>
          </c:extLst>
        </c:ser>
        <c:ser>
          <c:idx val="10"/>
          <c:order val="10"/>
          <c:tx>
            <c:strRef>
              <c:f>Sheet2!$BY$28</c:f>
              <c:strCache>
                <c:ptCount val="1"/>
                <c:pt idx="0">
                  <c:v>hh 6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Sheet2!$BM$29:$BM$49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Sheet2!$BY$29:$BY$49</c:f>
              <c:numCache>
                <c:formatCode>General</c:formatCode>
                <c:ptCount val="21"/>
                <c:pt idx="0">
                  <c:v>-0.7142857142857143</c:v>
                </c:pt>
                <c:pt idx="1">
                  <c:v>-0.6607142857142857</c:v>
                </c:pt>
                <c:pt idx="2">
                  <c:v>-0.61428571428571432</c:v>
                </c:pt>
                <c:pt idx="3">
                  <c:v>-0.57499999999999996</c:v>
                </c:pt>
                <c:pt idx="4">
                  <c:v>-0.54285714285714293</c:v>
                </c:pt>
                <c:pt idx="5">
                  <c:v>-0.5178571428571429</c:v>
                </c:pt>
                <c:pt idx="6">
                  <c:v>-0.49999999999999989</c:v>
                </c:pt>
                <c:pt idx="7">
                  <c:v>-0.48928571428571432</c:v>
                </c:pt>
                <c:pt idx="8">
                  <c:v>-0.48571428571428565</c:v>
                </c:pt>
                <c:pt idx="9">
                  <c:v>-0.48928571428571432</c:v>
                </c:pt>
                <c:pt idx="10">
                  <c:v>-0.5</c:v>
                </c:pt>
                <c:pt idx="11">
                  <c:v>-0.5178571428571429</c:v>
                </c:pt>
                <c:pt idx="12">
                  <c:v>-0.54285714285714282</c:v>
                </c:pt>
                <c:pt idx="13">
                  <c:v>-0.57500000000000007</c:v>
                </c:pt>
                <c:pt idx="14">
                  <c:v>-0.61428571428571421</c:v>
                </c:pt>
                <c:pt idx="15">
                  <c:v>-0.6607142857142857</c:v>
                </c:pt>
                <c:pt idx="16">
                  <c:v>-0.71428571428571441</c:v>
                </c:pt>
                <c:pt idx="17">
                  <c:v>-0.77500000000000002</c:v>
                </c:pt>
                <c:pt idx="18">
                  <c:v>-0.84285714285714286</c:v>
                </c:pt>
                <c:pt idx="19">
                  <c:v>-0.91785714285714282</c:v>
                </c:pt>
                <c:pt idx="20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012-434B-BEC0-29156B0B2456}"/>
            </c:ext>
          </c:extLst>
        </c:ser>
        <c:ser>
          <c:idx val="11"/>
          <c:order val="11"/>
          <c:tx>
            <c:strRef>
              <c:f>Sheet2!$BZ$28</c:f>
              <c:strCache>
                <c:ptCount val="1"/>
                <c:pt idx="0">
                  <c:v>hh 5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Sheet2!$BM$29:$BM$49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Sheet2!$BZ$29:$BZ$49</c:f>
              <c:numCache>
                <c:formatCode>General</c:formatCode>
                <c:ptCount val="21"/>
                <c:pt idx="0">
                  <c:v>-0.8571428571428571</c:v>
                </c:pt>
                <c:pt idx="1">
                  <c:v>-0.78285714285714292</c:v>
                </c:pt>
                <c:pt idx="2">
                  <c:v>-0.71714285714285708</c:v>
                </c:pt>
                <c:pt idx="3">
                  <c:v>-0.65999999999999992</c:v>
                </c:pt>
                <c:pt idx="4">
                  <c:v>-0.61142857142857143</c:v>
                </c:pt>
                <c:pt idx="5">
                  <c:v>-0.57142857142857151</c:v>
                </c:pt>
                <c:pt idx="6">
                  <c:v>-0.53999999999999992</c:v>
                </c:pt>
                <c:pt idx="7">
                  <c:v>-0.51714285714285713</c:v>
                </c:pt>
                <c:pt idx="8">
                  <c:v>-0.50285714285714289</c:v>
                </c:pt>
                <c:pt idx="9">
                  <c:v>-0.49714285714285716</c:v>
                </c:pt>
                <c:pt idx="10">
                  <c:v>-0.5</c:v>
                </c:pt>
                <c:pt idx="11">
                  <c:v>-0.51142857142857145</c:v>
                </c:pt>
                <c:pt idx="12">
                  <c:v>-0.53142857142857147</c:v>
                </c:pt>
                <c:pt idx="13">
                  <c:v>-0.56000000000000005</c:v>
                </c:pt>
                <c:pt idx="14">
                  <c:v>-0.5971428571428572</c:v>
                </c:pt>
                <c:pt idx="15">
                  <c:v>-0.6428571428571429</c:v>
                </c:pt>
                <c:pt idx="16">
                  <c:v>-0.69714285714285718</c:v>
                </c:pt>
                <c:pt idx="17">
                  <c:v>-0.7599999999999999</c:v>
                </c:pt>
                <c:pt idx="18">
                  <c:v>-0.83142857142857152</c:v>
                </c:pt>
                <c:pt idx="19">
                  <c:v>-0.91142857142857125</c:v>
                </c:pt>
                <c:pt idx="20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012-434B-BEC0-29156B0B2456}"/>
            </c:ext>
          </c:extLst>
        </c:ser>
        <c:ser>
          <c:idx val="12"/>
          <c:order val="12"/>
          <c:tx>
            <c:strRef>
              <c:f>Sheet2!$CA$28</c:f>
              <c:strCache>
                <c:ptCount val="1"/>
                <c:pt idx="0">
                  <c:v>hh 4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Sheet2!$BM$29:$BM$49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Sheet2!$CA$29:$CA$49</c:f>
              <c:numCache>
                <c:formatCode>General</c:formatCode>
                <c:ptCount val="21"/>
                <c:pt idx="0">
                  <c:v>-1</c:v>
                </c:pt>
                <c:pt idx="1">
                  <c:v>-0.95</c:v>
                </c:pt>
                <c:pt idx="2">
                  <c:v>-0.87142857142857144</c:v>
                </c:pt>
                <c:pt idx="3">
                  <c:v>-0.78749999999999987</c:v>
                </c:pt>
                <c:pt idx="4">
                  <c:v>-0.71428571428571441</c:v>
                </c:pt>
                <c:pt idx="5">
                  <c:v>-0.65178571428571419</c:v>
                </c:pt>
                <c:pt idx="6">
                  <c:v>-0.6</c:v>
                </c:pt>
                <c:pt idx="7">
                  <c:v>-0.55892857142857144</c:v>
                </c:pt>
                <c:pt idx="8">
                  <c:v>-0.52857142857142858</c:v>
                </c:pt>
                <c:pt idx="9">
                  <c:v>-0.5089285714285714</c:v>
                </c:pt>
                <c:pt idx="10">
                  <c:v>-0.5</c:v>
                </c:pt>
                <c:pt idx="11">
                  <c:v>-0.50178571428571428</c:v>
                </c:pt>
                <c:pt idx="12">
                  <c:v>-0.51428571428571423</c:v>
                </c:pt>
                <c:pt idx="13">
                  <c:v>-0.53749999999999998</c:v>
                </c:pt>
                <c:pt idx="14">
                  <c:v>-0.5714285714285714</c:v>
                </c:pt>
                <c:pt idx="15">
                  <c:v>-0.6160714285714286</c:v>
                </c:pt>
                <c:pt idx="16">
                  <c:v>-0.67142857142857149</c:v>
                </c:pt>
                <c:pt idx="17">
                  <c:v>-0.73750000000000004</c:v>
                </c:pt>
                <c:pt idx="18">
                  <c:v>-0.81428571428571428</c:v>
                </c:pt>
                <c:pt idx="19">
                  <c:v>-0.90178571428571419</c:v>
                </c:pt>
                <c:pt idx="20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012-434B-BEC0-29156B0B2456}"/>
            </c:ext>
          </c:extLst>
        </c:ser>
        <c:ser>
          <c:idx val="13"/>
          <c:order val="13"/>
          <c:tx>
            <c:strRef>
              <c:f>Sheet2!$CB$28</c:f>
              <c:strCache>
                <c:ptCount val="1"/>
                <c:pt idx="0">
                  <c:v>hh 3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Sheet2!$BM$29:$BM$49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Sheet2!$CB$29:$CB$49</c:f>
              <c:numCache>
                <c:formatCode>General</c:formatCode>
                <c:ptCount val="21"/>
                <c:pt idx="0">
                  <c:v>-1</c:v>
                </c:pt>
                <c:pt idx="1">
                  <c:v>-0.95</c:v>
                </c:pt>
                <c:pt idx="2">
                  <c:v>-0.9</c:v>
                </c:pt>
                <c:pt idx="3">
                  <c:v>-0.85</c:v>
                </c:pt>
                <c:pt idx="4">
                  <c:v>-0.8</c:v>
                </c:pt>
                <c:pt idx="5">
                  <c:v>-0.75</c:v>
                </c:pt>
                <c:pt idx="6">
                  <c:v>-0.7</c:v>
                </c:pt>
                <c:pt idx="7">
                  <c:v>-0.62857142857142856</c:v>
                </c:pt>
                <c:pt idx="8">
                  <c:v>-0.5714285714285714</c:v>
                </c:pt>
                <c:pt idx="9">
                  <c:v>-0.52857142857142858</c:v>
                </c:pt>
                <c:pt idx="10">
                  <c:v>-0.5</c:v>
                </c:pt>
                <c:pt idx="11">
                  <c:v>-0.48571428571428565</c:v>
                </c:pt>
                <c:pt idx="12">
                  <c:v>-0.48571428571428565</c:v>
                </c:pt>
                <c:pt idx="13">
                  <c:v>-0.5</c:v>
                </c:pt>
                <c:pt idx="14">
                  <c:v>-0.52857142857142858</c:v>
                </c:pt>
                <c:pt idx="15">
                  <c:v>-0.5714285714285714</c:v>
                </c:pt>
                <c:pt idx="16">
                  <c:v>-0.62857142857142867</c:v>
                </c:pt>
                <c:pt idx="17">
                  <c:v>-0.7</c:v>
                </c:pt>
                <c:pt idx="18">
                  <c:v>-0.7857142857142857</c:v>
                </c:pt>
                <c:pt idx="19">
                  <c:v>-0.88571428571428557</c:v>
                </c:pt>
                <c:pt idx="20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012-434B-BEC0-29156B0B2456}"/>
            </c:ext>
          </c:extLst>
        </c:ser>
        <c:ser>
          <c:idx val="14"/>
          <c:order val="14"/>
          <c:tx>
            <c:strRef>
              <c:f>Sheet2!$CC$28</c:f>
              <c:strCache>
                <c:ptCount val="1"/>
                <c:pt idx="0">
                  <c:v>hh 2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Sheet2!$BM$29:$BM$49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Sheet2!$CC$29:$CC$49</c:f>
              <c:numCache>
                <c:formatCode>General</c:formatCode>
                <c:ptCount val="21"/>
                <c:pt idx="0">
                  <c:v>-1</c:v>
                </c:pt>
                <c:pt idx="1">
                  <c:v>-0.95</c:v>
                </c:pt>
                <c:pt idx="2">
                  <c:v>-0.9</c:v>
                </c:pt>
                <c:pt idx="3">
                  <c:v>-0.85</c:v>
                </c:pt>
                <c:pt idx="4">
                  <c:v>-0.8</c:v>
                </c:pt>
                <c:pt idx="5">
                  <c:v>-0.75</c:v>
                </c:pt>
                <c:pt idx="6">
                  <c:v>-0.7</c:v>
                </c:pt>
                <c:pt idx="7">
                  <c:v>-0.65</c:v>
                </c:pt>
                <c:pt idx="8">
                  <c:v>-0.6</c:v>
                </c:pt>
                <c:pt idx="9">
                  <c:v>-0.55000000000000004</c:v>
                </c:pt>
                <c:pt idx="10">
                  <c:v>-0.5</c:v>
                </c:pt>
                <c:pt idx="11">
                  <c:v>-0.45357142857142851</c:v>
                </c:pt>
                <c:pt idx="12">
                  <c:v>-0.4285714285714286</c:v>
                </c:pt>
                <c:pt idx="13">
                  <c:v>-0.42500000000000004</c:v>
                </c:pt>
                <c:pt idx="14">
                  <c:v>-0.44285714285714284</c:v>
                </c:pt>
                <c:pt idx="15">
                  <c:v>-0.4821428571428571</c:v>
                </c:pt>
                <c:pt idx="16">
                  <c:v>-0.54285714285714293</c:v>
                </c:pt>
                <c:pt idx="17">
                  <c:v>-0.62500000000000011</c:v>
                </c:pt>
                <c:pt idx="18">
                  <c:v>-0.72857142857142876</c:v>
                </c:pt>
                <c:pt idx="19">
                  <c:v>-0.85357142857142843</c:v>
                </c:pt>
                <c:pt idx="20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012-434B-BEC0-29156B0B2456}"/>
            </c:ext>
          </c:extLst>
        </c:ser>
        <c:ser>
          <c:idx val="15"/>
          <c:order val="15"/>
          <c:tx>
            <c:strRef>
              <c:f>Sheet2!$CD$28</c:f>
              <c:strCache>
                <c:ptCount val="1"/>
                <c:pt idx="0">
                  <c:v>hh 1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Sheet2!$BM$29:$BM$49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Sheet2!$CD$29:$CD$49</c:f>
              <c:numCache>
                <c:formatCode>General</c:formatCode>
                <c:ptCount val="21"/>
                <c:pt idx="0">
                  <c:v>-1</c:v>
                </c:pt>
                <c:pt idx="1">
                  <c:v>-0.95</c:v>
                </c:pt>
                <c:pt idx="2">
                  <c:v>-0.9</c:v>
                </c:pt>
                <c:pt idx="3">
                  <c:v>-0.85</c:v>
                </c:pt>
                <c:pt idx="4">
                  <c:v>-0.8</c:v>
                </c:pt>
                <c:pt idx="5">
                  <c:v>-0.75</c:v>
                </c:pt>
                <c:pt idx="6">
                  <c:v>-0.7</c:v>
                </c:pt>
                <c:pt idx="7">
                  <c:v>-0.65</c:v>
                </c:pt>
                <c:pt idx="8">
                  <c:v>-0.6</c:v>
                </c:pt>
                <c:pt idx="9">
                  <c:v>-0.55000000000000004</c:v>
                </c:pt>
                <c:pt idx="10">
                  <c:v>-0.5</c:v>
                </c:pt>
                <c:pt idx="11">
                  <c:v>-0.44999999999999996</c:v>
                </c:pt>
                <c:pt idx="12">
                  <c:v>-0.4</c:v>
                </c:pt>
                <c:pt idx="13">
                  <c:v>-0.35</c:v>
                </c:pt>
                <c:pt idx="14">
                  <c:v>-0.30000000000000004</c:v>
                </c:pt>
                <c:pt idx="15">
                  <c:v>-0.25</c:v>
                </c:pt>
                <c:pt idx="16">
                  <c:v>-0.28571428571428586</c:v>
                </c:pt>
                <c:pt idx="17">
                  <c:v>-0.4</c:v>
                </c:pt>
                <c:pt idx="18">
                  <c:v>-0.55714285714285727</c:v>
                </c:pt>
                <c:pt idx="19">
                  <c:v>-0.75714285714285701</c:v>
                </c:pt>
                <c:pt idx="20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E012-434B-BEC0-29156B0B2456}"/>
            </c:ext>
          </c:extLst>
        </c:ser>
        <c:ser>
          <c:idx val="16"/>
          <c:order val="16"/>
          <c:tx>
            <c:strRef>
              <c:f>Sheet2!$CE$28</c:f>
              <c:strCache>
                <c:ptCount val="1"/>
                <c:pt idx="0">
                  <c:v>hh 0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Sheet2!$BM$29:$BM$49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Sheet2!$CE$29:$CE$49</c:f>
              <c:numCache>
                <c:formatCode>General</c:formatCode>
                <c:ptCount val="21"/>
                <c:pt idx="0">
                  <c:v>-1</c:v>
                </c:pt>
                <c:pt idx="1">
                  <c:v>-0.95</c:v>
                </c:pt>
                <c:pt idx="2">
                  <c:v>-0.9</c:v>
                </c:pt>
                <c:pt idx="3">
                  <c:v>-0.85</c:v>
                </c:pt>
                <c:pt idx="4">
                  <c:v>-0.8</c:v>
                </c:pt>
                <c:pt idx="5">
                  <c:v>-0.75</c:v>
                </c:pt>
                <c:pt idx="6">
                  <c:v>-0.7</c:v>
                </c:pt>
                <c:pt idx="7">
                  <c:v>-0.65</c:v>
                </c:pt>
                <c:pt idx="8">
                  <c:v>-0.6</c:v>
                </c:pt>
                <c:pt idx="9">
                  <c:v>-0.55000000000000004</c:v>
                </c:pt>
                <c:pt idx="10">
                  <c:v>-0.5</c:v>
                </c:pt>
                <c:pt idx="11">
                  <c:v>-0.44999999999999996</c:v>
                </c:pt>
                <c:pt idx="12">
                  <c:v>-0.4</c:v>
                </c:pt>
                <c:pt idx="13">
                  <c:v>-0.35</c:v>
                </c:pt>
                <c:pt idx="14">
                  <c:v>-0.30000000000000004</c:v>
                </c:pt>
                <c:pt idx="15">
                  <c:v>-0.25</c:v>
                </c:pt>
                <c:pt idx="16">
                  <c:v>-0.19999999999999996</c:v>
                </c:pt>
                <c:pt idx="17">
                  <c:v>-0.15000000000000002</c:v>
                </c:pt>
                <c:pt idx="18">
                  <c:v>-9.9999999999999978E-2</c:v>
                </c:pt>
                <c:pt idx="19">
                  <c:v>-5.0000000000000044E-2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012-434B-BEC0-29156B0B2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617407"/>
        <c:axId val="1613617887"/>
      </c:scatterChart>
      <c:valAx>
        <c:axId val="1613617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617887"/>
        <c:crosses val="autoZero"/>
        <c:crossBetween val="midCat"/>
      </c:valAx>
      <c:valAx>
        <c:axId val="161361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6174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3091197770241705E-2"/>
          <c:y val="0.90635561733144843"/>
          <c:w val="0.96240087630474602"/>
          <c:h val="8.24825354443579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Sheet2!$BO$28</c:f>
              <c:strCache>
                <c:ptCount val="1"/>
                <c:pt idx="0">
                  <c:v>hh 16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Sheet2!$BN$29:$BN$49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Sheet2!$BO$29:$BO$49</c:f>
              <c:numCache>
                <c:formatCode>General</c:formatCode>
                <c:ptCount val="21"/>
                <c:pt idx="0">
                  <c:v>-0.26785714285714285</c:v>
                </c:pt>
                <c:pt idx="1">
                  <c:v>-0.2790178571428571</c:v>
                </c:pt>
                <c:pt idx="2">
                  <c:v>-0.29285714285714287</c:v>
                </c:pt>
                <c:pt idx="3">
                  <c:v>-0.30937499999999996</c:v>
                </c:pt>
                <c:pt idx="4">
                  <c:v>-0.32857142857142863</c:v>
                </c:pt>
                <c:pt idx="5">
                  <c:v>-0.35044642857142855</c:v>
                </c:pt>
                <c:pt idx="6">
                  <c:v>-0.375</c:v>
                </c:pt>
                <c:pt idx="7">
                  <c:v>-0.40223214285714287</c:v>
                </c:pt>
                <c:pt idx="8">
                  <c:v>-0.43214285714285716</c:v>
                </c:pt>
                <c:pt idx="9">
                  <c:v>-0.46473214285714287</c:v>
                </c:pt>
                <c:pt idx="10">
                  <c:v>-0.5</c:v>
                </c:pt>
                <c:pt idx="11">
                  <c:v>-0.5379464285714286</c:v>
                </c:pt>
                <c:pt idx="12">
                  <c:v>-0.57857142857142851</c:v>
                </c:pt>
                <c:pt idx="13">
                  <c:v>-0.62187500000000007</c:v>
                </c:pt>
                <c:pt idx="14">
                  <c:v>-0.66785714285714282</c:v>
                </c:pt>
                <c:pt idx="15">
                  <c:v>-0.7165178571428571</c:v>
                </c:pt>
                <c:pt idx="16">
                  <c:v>-0.76785714285714279</c:v>
                </c:pt>
                <c:pt idx="17">
                  <c:v>-0.82187500000000002</c:v>
                </c:pt>
                <c:pt idx="18">
                  <c:v>-0.87857142857142856</c:v>
                </c:pt>
                <c:pt idx="19">
                  <c:v>-0.93794642857142851</c:v>
                </c:pt>
                <c:pt idx="20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F4-446A-95C3-882437E8CF05}"/>
            </c:ext>
          </c:extLst>
        </c:ser>
        <c:ser>
          <c:idx val="1"/>
          <c:order val="1"/>
          <c:tx>
            <c:strRef>
              <c:f>Sheet2!$BP$28</c:f>
              <c:strCache>
                <c:ptCount val="1"/>
                <c:pt idx="0">
                  <c:v>hh 15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Sheet2!$BN$29:$BN$49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Sheet2!$BP$29:$BP$49</c:f>
              <c:numCache>
                <c:formatCode>General</c:formatCode>
                <c:ptCount val="21"/>
                <c:pt idx="0">
                  <c:v>-0.2857142857142857</c:v>
                </c:pt>
                <c:pt idx="1">
                  <c:v>-0.29428571428571426</c:v>
                </c:pt>
                <c:pt idx="2">
                  <c:v>-0.30571428571428572</c:v>
                </c:pt>
                <c:pt idx="3">
                  <c:v>-0.32</c:v>
                </c:pt>
                <c:pt idx="4">
                  <c:v>-0.33714285714285719</c:v>
                </c:pt>
                <c:pt idx="5">
                  <c:v>-0.35714285714285715</c:v>
                </c:pt>
                <c:pt idx="6">
                  <c:v>-0.38</c:v>
                </c:pt>
                <c:pt idx="7">
                  <c:v>-0.40571428571428569</c:v>
                </c:pt>
                <c:pt idx="8">
                  <c:v>-0.43428571428571427</c:v>
                </c:pt>
                <c:pt idx="9">
                  <c:v>-0.46571428571428575</c:v>
                </c:pt>
                <c:pt idx="10">
                  <c:v>-0.5</c:v>
                </c:pt>
                <c:pt idx="11">
                  <c:v>-0.53714285714285714</c:v>
                </c:pt>
                <c:pt idx="12">
                  <c:v>-0.57714285714285707</c:v>
                </c:pt>
                <c:pt idx="13">
                  <c:v>-0.62000000000000011</c:v>
                </c:pt>
                <c:pt idx="14">
                  <c:v>-0.66571428571428559</c:v>
                </c:pt>
                <c:pt idx="15">
                  <c:v>-0.7142857142857143</c:v>
                </c:pt>
                <c:pt idx="16">
                  <c:v>-0.76571428571428579</c:v>
                </c:pt>
                <c:pt idx="17">
                  <c:v>-0.82000000000000006</c:v>
                </c:pt>
                <c:pt idx="18">
                  <c:v>-0.87714285714285722</c:v>
                </c:pt>
                <c:pt idx="19">
                  <c:v>-0.93714285714285694</c:v>
                </c:pt>
                <c:pt idx="20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F4-446A-95C3-882437E8CF05}"/>
            </c:ext>
          </c:extLst>
        </c:ser>
        <c:ser>
          <c:idx val="2"/>
          <c:order val="2"/>
          <c:tx>
            <c:strRef>
              <c:f>Sheet2!$BQ$28</c:f>
              <c:strCache>
                <c:ptCount val="1"/>
                <c:pt idx="0">
                  <c:v>hh 14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Sheet2!$BN$29:$BN$49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Sheet2!$BQ$29:$BQ$49</c:f>
              <c:numCache>
                <c:formatCode>General</c:formatCode>
                <c:ptCount val="21"/>
                <c:pt idx="0">
                  <c:v>-0.30612244897959184</c:v>
                </c:pt>
                <c:pt idx="1">
                  <c:v>-0.31173469387755098</c:v>
                </c:pt>
                <c:pt idx="2">
                  <c:v>-0.32040816326530619</c:v>
                </c:pt>
                <c:pt idx="3">
                  <c:v>-0.33214285714285718</c:v>
                </c:pt>
                <c:pt idx="4">
                  <c:v>-0.34693877551020413</c:v>
                </c:pt>
                <c:pt idx="5">
                  <c:v>-0.36479591836734693</c:v>
                </c:pt>
                <c:pt idx="6">
                  <c:v>-0.38571428571428568</c:v>
                </c:pt>
                <c:pt idx="7">
                  <c:v>-0.40969387755102038</c:v>
                </c:pt>
                <c:pt idx="8">
                  <c:v>-0.43673469387755104</c:v>
                </c:pt>
                <c:pt idx="9">
                  <c:v>-0.46683673469387754</c:v>
                </c:pt>
                <c:pt idx="10">
                  <c:v>-0.5</c:v>
                </c:pt>
                <c:pt idx="11">
                  <c:v>-0.53622448979591841</c:v>
                </c:pt>
                <c:pt idx="12">
                  <c:v>-0.57551020408163267</c:v>
                </c:pt>
                <c:pt idx="13">
                  <c:v>-0.61785714285714288</c:v>
                </c:pt>
                <c:pt idx="14">
                  <c:v>-0.66326530612244894</c:v>
                </c:pt>
                <c:pt idx="15">
                  <c:v>-0.71173469387755095</c:v>
                </c:pt>
                <c:pt idx="16">
                  <c:v>-0.76326530612244914</c:v>
                </c:pt>
                <c:pt idx="17">
                  <c:v>-0.81785714285714295</c:v>
                </c:pt>
                <c:pt idx="18">
                  <c:v>-0.87551020408163271</c:v>
                </c:pt>
                <c:pt idx="19">
                  <c:v>-0.93622448979591832</c:v>
                </c:pt>
                <c:pt idx="20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F4-446A-95C3-882437E8CF05}"/>
            </c:ext>
          </c:extLst>
        </c:ser>
        <c:ser>
          <c:idx val="3"/>
          <c:order val="3"/>
          <c:tx>
            <c:strRef>
              <c:f>Sheet2!$BR$28</c:f>
              <c:strCache>
                <c:ptCount val="1"/>
                <c:pt idx="0">
                  <c:v>hh 13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Sheet2!$BN$29:$BN$49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Sheet2!$BR$29:$BR$49</c:f>
              <c:numCache>
                <c:formatCode>General</c:formatCode>
                <c:ptCount val="21"/>
                <c:pt idx="0">
                  <c:v>-0.32967032967032966</c:v>
                </c:pt>
                <c:pt idx="1">
                  <c:v>-0.33186813186813185</c:v>
                </c:pt>
                <c:pt idx="2">
                  <c:v>-0.33736263736263739</c:v>
                </c:pt>
                <c:pt idx="3">
                  <c:v>-0.34615384615384615</c:v>
                </c:pt>
                <c:pt idx="4">
                  <c:v>-0.3582417582417583</c:v>
                </c:pt>
                <c:pt idx="5">
                  <c:v>-0.37362637362637363</c:v>
                </c:pt>
                <c:pt idx="6">
                  <c:v>-0.39230769230769225</c:v>
                </c:pt>
                <c:pt idx="7">
                  <c:v>-0.41428571428571426</c:v>
                </c:pt>
                <c:pt idx="8">
                  <c:v>-0.43956043956043955</c:v>
                </c:pt>
                <c:pt idx="9">
                  <c:v>-0.46813186813186813</c:v>
                </c:pt>
                <c:pt idx="10">
                  <c:v>-0.5</c:v>
                </c:pt>
                <c:pt idx="11">
                  <c:v>-0.53516483516483526</c:v>
                </c:pt>
                <c:pt idx="12">
                  <c:v>-0.5736263736263737</c:v>
                </c:pt>
                <c:pt idx="13">
                  <c:v>-0.61538461538461531</c:v>
                </c:pt>
                <c:pt idx="14">
                  <c:v>-0.66043956043956042</c:v>
                </c:pt>
                <c:pt idx="15">
                  <c:v>-0.70879120879120883</c:v>
                </c:pt>
                <c:pt idx="16">
                  <c:v>-0.7604395604395604</c:v>
                </c:pt>
                <c:pt idx="17">
                  <c:v>-0.81538461538461526</c:v>
                </c:pt>
                <c:pt idx="18">
                  <c:v>-0.87362637362637363</c:v>
                </c:pt>
                <c:pt idx="19">
                  <c:v>-0.93516483516483506</c:v>
                </c:pt>
                <c:pt idx="20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6F4-446A-95C3-882437E8CF05}"/>
            </c:ext>
          </c:extLst>
        </c:ser>
        <c:ser>
          <c:idx val="4"/>
          <c:order val="4"/>
          <c:tx>
            <c:strRef>
              <c:f>Sheet2!$BS$28</c:f>
              <c:strCache>
                <c:ptCount val="1"/>
                <c:pt idx="0">
                  <c:v>hh 12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Sheet2!$BN$29:$BN$49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Sheet2!$BS$29:$BS$49</c:f>
              <c:numCache>
                <c:formatCode>General</c:formatCode>
                <c:ptCount val="21"/>
                <c:pt idx="0">
                  <c:v>-0.35714285714285715</c:v>
                </c:pt>
                <c:pt idx="1">
                  <c:v>-0.35535714285714282</c:v>
                </c:pt>
                <c:pt idx="2">
                  <c:v>-0.35714285714285721</c:v>
                </c:pt>
                <c:pt idx="3">
                  <c:v>-0.36249999999999993</c:v>
                </c:pt>
                <c:pt idx="4">
                  <c:v>-0.37142857142857144</c:v>
                </c:pt>
                <c:pt idx="5">
                  <c:v>-0.38392857142857145</c:v>
                </c:pt>
                <c:pt idx="6">
                  <c:v>-0.39999999999999991</c:v>
                </c:pt>
                <c:pt idx="7">
                  <c:v>-0.4196428571428571</c:v>
                </c:pt>
                <c:pt idx="8">
                  <c:v>-0.44285714285714284</c:v>
                </c:pt>
                <c:pt idx="9">
                  <c:v>-0.4696428571428572</c:v>
                </c:pt>
                <c:pt idx="10">
                  <c:v>-0.5</c:v>
                </c:pt>
                <c:pt idx="11">
                  <c:v>-0.53392857142857142</c:v>
                </c:pt>
                <c:pt idx="12">
                  <c:v>-0.5714285714285714</c:v>
                </c:pt>
                <c:pt idx="13">
                  <c:v>-0.61249999999999993</c:v>
                </c:pt>
                <c:pt idx="14">
                  <c:v>-0.65714285714285703</c:v>
                </c:pt>
                <c:pt idx="15">
                  <c:v>-0.7053571428571429</c:v>
                </c:pt>
                <c:pt idx="16">
                  <c:v>-0.75714285714285712</c:v>
                </c:pt>
                <c:pt idx="17">
                  <c:v>-0.81249999999999989</c:v>
                </c:pt>
                <c:pt idx="18">
                  <c:v>-0.87142857142857144</c:v>
                </c:pt>
                <c:pt idx="19">
                  <c:v>-0.93392857142857133</c:v>
                </c:pt>
                <c:pt idx="20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6F4-446A-95C3-882437E8CF05}"/>
            </c:ext>
          </c:extLst>
        </c:ser>
        <c:ser>
          <c:idx val="5"/>
          <c:order val="5"/>
          <c:tx>
            <c:strRef>
              <c:f>Sheet2!$BT$28</c:f>
              <c:strCache>
                <c:ptCount val="1"/>
                <c:pt idx="0">
                  <c:v>hh 11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Sheet2!$BN$29:$BN$49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Sheet2!$BT$29:$BT$49</c:f>
              <c:numCache>
                <c:formatCode>General</c:formatCode>
                <c:ptCount val="21"/>
                <c:pt idx="0">
                  <c:v>-0.38961038961038957</c:v>
                </c:pt>
                <c:pt idx="1">
                  <c:v>-0.38311688311688308</c:v>
                </c:pt>
                <c:pt idx="2">
                  <c:v>-0.38051948051948054</c:v>
                </c:pt>
                <c:pt idx="3">
                  <c:v>-0.38181818181818178</c:v>
                </c:pt>
                <c:pt idx="4">
                  <c:v>-0.38701298701298703</c:v>
                </c:pt>
                <c:pt idx="5">
                  <c:v>-0.39610389610389612</c:v>
                </c:pt>
                <c:pt idx="6">
                  <c:v>-0.40909090909090906</c:v>
                </c:pt>
                <c:pt idx="7">
                  <c:v>-0.42597402597402595</c:v>
                </c:pt>
                <c:pt idx="8">
                  <c:v>-0.44675324675324679</c:v>
                </c:pt>
                <c:pt idx="9">
                  <c:v>-0.47142857142857147</c:v>
                </c:pt>
                <c:pt idx="10">
                  <c:v>-0.5</c:v>
                </c:pt>
                <c:pt idx="11">
                  <c:v>-0.53246753246753253</c:v>
                </c:pt>
                <c:pt idx="12">
                  <c:v>-0.5688311688311688</c:v>
                </c:pt>
                <c:pt idx="13">
                  <c:v>-0.60909090909090913</c:v>
                </c:pt>
                <c:pt idx="14">
                  <c:v>-0.65324675324675319</c:v>
                </c:pt>
                <c:pt idx="15">
                  <c:v>-0.70129870129870131</c:v>
                </c:pt>
                <c:pt idx="16">
                  <c:v>-0.75324675324675328</c:v>
                </c:pt>
                <c:pt idx="17">
                  <c:v>-0.80909090909090908</c:v>
                </c:pt>
                <c:pt idx="18">
                  <c:v>-0.86883116883116873</c:v>
                </c:pt>
                <c:pt idx="19">
                  <c:v>-0.93246753246753233</c:v>
                </c:pt>
                <c:pt idx="20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6F4-446A-95C3-882437E8CF05}"/>
            </c:ext>
          </c:extLst>
        </c:ser>
        <c:ser>
          <c:idx val="6"/>
          <c:order val="6"/>
          <c:tx>
            <c:strRef>
              <c:f>Sheet2!$BU$28</c:f>
              <c:strCache>
                <c:ptCount val="1"/>
                <c:pt idx="0">
                  <c:v>hh 10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Sheet2!$BN$29:$BN$49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Sheet2!$BU$29:$BU$49</c:f>
              <c:numCache>
                <c:formatCode>General</c:formatCode>
                <c:ptCount val="21"/>
                <c:pt idx="0">
                  <c:v>-0.42857142857142855</c:v>
                </c:pt>
                <c:pt idx="1">
                  <c:v>-0.41642857142857143</c:v>
                </c:pt>
                <c:pt idx="2">
                  <c:v>-0.40857142857142859</c:v>
                </c:pt>
                <c:pt idx="3">
                  <c:v>-0.40499999999999997</c:v>
                </c:pt>
                <c:pt idx="4">
                  <c:v>-0.40571428571428569</c:v>
                </c:pt>
                <c:pt idx="5">
                  <c:v>-0.41071428571428575</c:v>
                </c:pt>
                <c:pt idx="6">
                  <c:v>-0.41999999999999993</c:v>
                </c:pt>
                <c:pt idx="7">
                  <c:v>-0.43357142857142861</c:v>
                </c:pt>
                <c:pt idx="8">
                  <c:v>-0.4514285714285714</c:v>
                </c:pt>
                <c:pt idx="9">
                  <c:v>-0.47357142857142853</c:v>
                </c:pt>
                <c:pt idx="10">
                  <c:v>-0.5</c:v>
                </c:pt>
                <c:pt idx="11">
                  <c:v>-0.53071428571428569</c:v>
                </c:pt>
                <c:pt idx="12">
                  <c:v>-0.56571428571428573</c:v>
                </c:pt>
                <c:pt idx="13">
                  <c:v>-0.60500000000000009</c:v>
                </c:pt>
                <c:pt idx="14">
                  <c:v>-0.64857142857142858</c:v>
                </c:pt>
                <c:pt idx="15">
                  <c:v>-0.69642857142857151</c:v>
                </c:pt>
                <c:pt idx="16">
                  <c:v>-0.74857142857142867</c:v>
                </c:pt>
                <c:pt idx="17">
                  <c:v>-0.80500000000000005</c:v>
                </c:pt>
                <c:pt idx="18">
                  <c:v>-0.86571428571428577</c:v>
                </c:pt>
                <c:pt idx="19">
                  <c:v>-0.93071428571428572</c:v>
                </c:pt>
                <c:pt idx="20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6F4-446A-95C3-882437E8CF05}"/>
            </c:ext>
          </c:extLst>
        </c:ser>
        <c:ser>
          <c:idx val="7"/>
          <c:order val="7"/>
          <c:tx>
            <c:strRef>
              <c:f>Sheet2!$BV$28</c:f>
              <c:strCache>
                <c:ptCount val="1"/>
                <c:pt idx="0">
                  <c:v>hh 9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Sheet2!$BN$29:$BN$49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Sheet2!$BV$29:$BV$49</c:f>
              <c:numCache>
                <c:formatCode>General</c:formatCode>
                <c:ptCount val="21"/>
                <c:pt idx="0">
                  <c:v>-0.47619047619047616</c:v>
                </c:pt>
                <c:pt idx="1">
                  <c:v>-0.45714285714285707</c:v>
                </c:pt>
                <c:pt idx="2">
                  <c:v>-0.44285714285714289</c:v>
                </c:pt>
                <c:pt idx="3">
                  <c:v>-0.43333333333333335</c:v>
                </c:pt>
                <c:pt idx="4">
                  <c:v>-0.4285714285714286</c:v>
                </c:pt>
                <c:pt idx="5">
                  <c:v>-0.42857142857142855</c:v>
                </c:pt>
                <c:pt idx="6">
                  <c:v>-0.43333333333333324</c:v>
                </c:pt>
                <c:pt idx="7">
                  <c:v>-0.44285714285714284</c:v>
                </c:pt>
                <c:pt idx="8">
                  <c:v>-0.45714285714285718</c:v>
                </c:pt>
                <c:pt idx="9">
                  <c:v>-0.47619047619047628</c:v>
                </c:pt>
                <c:pt idx="10">
                  <c:v>-0.5</c:v>
                </c:pt>
                <c:pt idx="11">
                  <c:v>-0.52857142857142858</c:v>
                </c:pt>
                <c:pt idx="12">
                  <c:v>-0.56190476190476191</c:v>
                </c:pt>
                <c:pt idx="13">
                  <c:v>-0.60000000000000009</c:v>
                </c:pt>
                <c:pt idx="14">
                  <c:v>-0.64285714285714279</c:v>
                </c:pt>
                <c:pt idx="15">
                  <c:v>-0.69047619047619047</c:v>
                </c:pt>
                <c:pt idx="16">
                  <c:v>-0.74285714285714288</c:v>
                </c:pt>
                <c:pt idx="17">
                  <c:v>-0.79999999999999993</c:v>
                </c:pt>
                <c:pt idx="18">
                  <c:v>-0.86190476190476195</c:v>
                </c:pt>
                <c:pt idx="19">
                  <c:v>-0.92857142857142849</c:v>
                </c:pt>
                <c:pt idx="20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6F4-446A-95C3-882437E8CF05}"/>
            </c:ext>
          </c:extLst>
        </c:ser>
        <c:ser>
          <c:idx val="8"/>
          <c:order val="8"/>
          <c:tx>
            <c:strRef>
              <c:f>Sheet2!$BW$28</c:f>
              <c:strCache>
                <c:ptCount val="1"/>
                <c:pt idx="0">
                  <c:v>hh 8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Sheet2!$BN$29:$BN$49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Sheet2!$BW$29:$BW$49</c:f>
              <c:numCache>
                <c:formatCode>General</c:formatCode>
                <c:ptCount val="21"/>
                <c:pt idx="0">
                  <c:v>-0.5357142857142857</c:v>
                </c:pt>
                <c:pt idx="1">
                  <c:v>-0.50803571428571426</c:v>
                </c:pt>
                <c:pt idx="2">
                  <c:v>-0.48571428571428571</c:v>
                </c:pt>
                <c:pt idx="3">
                  <c:v>-0.46874999999999994</c:v>
                </c:pt>
                <c:pt idx="4">
                  <c:v>-0.45714285714285718</c:v>
                </c:pt>
                <c:pt idx="5">
                  <c:v>-0.4508928571428571</c:v>
                </c:pt>
                <c:pt idx="6">
                  <c:v>-0.44999999999999996</c:v>
                </c:pt>
                <c:pt idx="7">
                  <c:v>-0.45446428571428571</c:v>
                </c:pt>
                <c:pt idx="8">
                  <c:v>-0.4642857142857143</c:v>
                </c:pt>
                <c:pt idx="9">
                  <c:v>-0.47946428571428568</c:v>
                </c:pt>
                <c:pt idx="10">
                  <c:v>-0.5</c:v>
                </c:pt>
                <c:pt idx="11">
                  <c:v>-0.52589285714285716</c:v>
                </c:pt>
                <c:pt idx="12">
                  <c:v>-0.55714285714285716</c:v>
                </c:pt>
                <c:pt idx="13">
                  <c:v>-0.59375</c:v>
                </c:pt>
                <c:pt idx="14">
                  <c:v>-0.63571428571428579</c:v>
                </c:pt>
                <c:pt idx="15">
                  <c:v>-0.6830357142857143</c:v>
                </c:pt>
                <c:pt idx="16">
                  <c:v>-0.73571428571428588</c:v>
                </c:pt>
                <c:pt idx="17">
                  <c:v>-0.79374999999999996</c:v>
                </c:pt>
                <c:pt idx="18">
                  <c:v>-0.8571428571428571</c:v>
                </c:pt>
                <c:pt idx="19">
                  <c:v>-0.92589285714285718</c:v>
                </c:pt>
                <c:pt idx="20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6F4-446A-95C3-882437E8CF05}"/>
            </c:ext>
          </c:extLst>
        </c:ser>
        <c:ser>
          <c:idx val="9"/>
          <c:order val="9"/>
          <c:tx>
            <c:strRef>
              <c:f>Sheet2!$BX$28</c:f>
              <c:strCache>
                <c:ptCount val="1"/>
                <c:pt idx="0">
                  <c:v>hh 7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Sheet2!$BN$29:$BN$49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Sheet2!$BX$29:$BX$49</c:f>
              <c:numCache>
                <c:formatCode>General</c:formatCode>
                <c:ptCount val="21"/>
                <c:pt idx="0">
                  <c:v>-0.61224489795918369</c:v>
                </c:pt>
                <c:pt idx="1">
                  <c:v>-0.57346938775510192</c:v>
                </c:pt>
                <c:pt idx="2">
                  <c:v>-0.54081632653061229</c:v>
                </c:pt>
                <c:pt idx="3">
                  <c:v>-0.51428571428571435</c:v>
                </c:pt>
                <c:pt idx="4">
                  <c:v>-0.4938775510204082</c:v>
                </c:pt>
                <c:pt idx="5">
                  <c:v>-0.47959183673469391</c:v>
                </c:pt>
                <c:pt idx="6">
                  <c:v>-0.47142857142857142</c:v>
                </c:pt>
                <c:pt idx="7">
                  <c:v>-0.46938775510204078</c:v>
                </c:pt>
                <c:pt idx="8">
                  <c:v>-0.47346938775510206</c:v>
                </c:pt>
                <c:pt idx="9">
                  <c:v>-0.48367346938775507</c:v>
                </c:pt>
                <c:pt idx="10">
                  <c:v>-0.5</c:v>
                </c:pt>
                <c:pt idx="11">
                  <c:v>-0.52244897959183678</c:v>
                </c:pt>
                <c:pt idx="12">
                  <c:v>-0.55102040816326525</c:v>
                </c:pt>
                <c:pt idx="13">
                  <c:v>-0.58571428571428574</c:v>
                </c:pt>
                <c:pt idx="14">
                  <c:v>-0.62653061224489792</c:v>
                </c:pt>
                <c:pt idx="15">
                  <c:v>-0.6734693877551019</c:v>
                </c:pt>
                <c:pt idx="16">
                  <c:v>-0.72653061224489801</c:v>
                </c:pt>
                <c:pt idx="17">
                  <c:v>-0.7857142857142857</c:v>
                </c:pt>
                <c:pt idx="18">
                  <c:v>-0.8510204081632653</c:v>
                </c:pt>
                <c:pt idx="19">
                  <c:v>-0.92244897959183658</c:v>
                </c:pt>
                <c:pt idx="20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6F4-446A-95C3-882437E8CF05}"/>
            </c:ext>
          </c:extLst>
        </c:ser>
        <c:ser>
          <c:idx val="10"/>
          <c:order val="10"/>
          <c:tx>
            <c:strRef>
              <c:f>Sheet2!$BY$28</c:f>
              <c:strCache>
                <c:ptCount val="1"/>
                <c:pt idx="0">
                  <c:v>hh 6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Sheet2!$BN$29:$BN$49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Sheet2!$BY$29:$BY$49</c:f>
              <c:numCache>
                <c:formatCode>General</c:formatCode>
                <c:ptCount val="21"/>
                <c:pt idx="0">
                  <c:v>-0.7142857142857143</c:v>
                </c:pt>
                <c:pt idx="1">
                  <c:v>-0.6607142857142857</c:v>
                </c:pt>
                <c:pt idx="2">
                  <c:v>-0.61428571428571432</c:v>
                </c:pt>
                <c:pt idx="3">
                  <c:v>-0.57499999999999996</c:v>
                </c:pt>
                <c:pt idx="4">
                  <c:v>-0.54285714285714293</c:v>
                </c:pt>
                <c:pt idx="5">
                  <c:v>-0.5178571428571429</c:v>
                </c:pt>
                <c:pt idx="6">
                  <c:v>-0.49999999999999989</c:v>
                </c:pt>
                <c:pt idx="7">
                  <c:v>-0.48928571428571432</c:v>
                </c:pt>
                <c:pt idx="8">
                  <c:v>-0.48571428571428565</c:v>
                </c:pt>
                <c:pt idx="9">
                  <c:v>-0.48928571428571432</c:v>
                </c:pt>
                <c:pt idx="10">
                  <c:v>-0.5</c:v>
                </c:pt>
                <c:pt idx="11">
                  <c:v>-0.5178571428571429</c:v>
                </c:pt>
                <c:pt idx="12">
                  <c:v>-0.54285714285714282</c:v>
                </c:pt>
                <c:pt idx="13">
                  <c:v>-0.57500000000000007</c:v>
                </c:pt>
                <c:pt idx="14">
                  <c:v>-0.61428571428571421</c:v>
                </c:pt>
                <c:pt idx="15">
                  <c:v>-0.6607142857142857</c:v>
                </c:pt>
                <c:pt idx="16">
                  <c:v>-0.71428571428571441</c:v>
                </c:pt>
                <c:pt idx="17">
                  <c:v>-0.77500000000000002</c:v>
                </c:pt>
                <c:pt idx="18">
                  <c:v>-0.84285714285714286</c:v>
                </c:pt>
                <c:pt idx="19">
                  <c:v>-0.91785714285714282</c:v>
                </c:pt>
                <c:pt idx="20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6F4-446A-95C3-882437E8CF05}"/>
            </c:ext>
          </c:extLst>
        </c:ser>
        <c:ser>
          <c:idx val="11"/>
          <c:order val="11"/>
          <c:tx>
            <c:strRef>
              <c:f>Sheet2!$BZ$28</c:f>
              <c:strCache>
                <c:ptCount val="1"/>
                <c:pt idx="0">
                  <c:v>hh 5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Sheet2!$BN$29:$BN$49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Sheet2!$BZ$29:$BZ$49</c:f>
              <c:numCache>
                <c:formatCode>General</c:formatCode>
                <c:ptCount val="21"/>
                <c:pt idx="0">
                  <c:v>-0.8571428571428571</c:v>
                </c:pt>
                <c:pt idx="1">
                  <c:v>-0.78285714285714292</c:v>
                </c:pt>
                <c:pt idx="2">
                  <c:v>-0.71714285714285708</c:v>
                </c:pt>
                <c:pt idx="3">
                  <c:v>-0.65999999999999992</c:v>
                </c:pt>
                <c:pt idx="4">
                  <c:v>-0.61142857142857143</c:v>
                </c:pt>
                <c:pt idx="5">
                  <c:v>-0.57142857142857151</c:v>
                </c:pt>
                <c:pt idx="6">
                  <c:v>-0.53999999999999992</c:v>
                </c:pt>
                <c:pt idx="7">
                  <c:v>-0.51714285714285713</c:v>
                </c:pt>
                <c:pt idx="8">
                  <c:v>-0.50285714285714289</c:v>
                </c:pt>
                <c:pt idx="9">
                  <c:v>-0.49714285714285716</c:v>
                </c:pt>
                <c:pt idx="10">
                  <c:v>-0.5</c:v>
                </c:pt>
                <c:pt idx="11">
                  <c:v>-0.51142857142857145</c:v>
                </c:pt>
                <c:pt idx="12">
                  <c:v>-0.53142857142857147</c:v>
                </c:pt>
                <c:pt idx="13">
                  <c:v>-0.56000000000000005</c:v>
                </c:pt>
                <c:pt idx="14">
                  <c:v>-0.5971428571428572</c:v>
                </c:pt>
                <c:pt idx="15">
                  <c:v>-0.6428571428571429</c:v>
                </c:pt>
                <c:pt idx="16">
                  <c:v>-0.69714285714285718</c:v>
                </c:pt>
                <c:pt idx="17">
                  <c:v>-0.7599999999999999</c:v>
                </c:pt>
                <c:pt idx="18">
                  <c:v>-0.83142857142857152</c:v>
                </c:pt>
                <c:pt idx="19">
                  <c:v>-0.91142857142857125</c:v>
                </c:pt>
                <c:pt idx="20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6F4-446A-95C3-882437E8CF05}"/>
            </c:ext>
          </c:extLst>
        </c:ser>
        <c:ser>
          <c:idx val="12"/>
          <c:order val="12"/>
          <c:tx>
            <c:strRef>
              <c:f>Sheet2!$CA$28</c:f>
              <c:strCache>
                <c:ptCount val="1"/>
                <c:pt idx="0">
                  <c:v>hh 4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Sheet2!$BN$29:$BN$49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Sheet2!$CA$29:$CA$49</c:f>
              <c:numCache>
                <c:formatCode>General</c:formatCode>
                <c:ptCount val="21"/>
                <c:pt idx="0">
                  <c:v>-1</c:v>
                </c:pt>
                <c:pt idx="1">
                  <c:v>-0.95</c:v>
                </c:pt>
                <c:pt idx="2">
                  <c:v>-0.87142857142857144</c:v>
                </c:pt>
                <c:pt idx="3">
                  <c:v>-0.78749999999999987</c:v>
                </c:pt>
                <c:pt idx="4">
                  <c:v>-0.71428571428571441</c:v>
                </c:pt>
                <c:pt idx="5">
                  <c:v>-0.65178571428571419</c:v>
                </c:pt>
                <c:pt idx="6">
                  <c:v>-0.6</c:v>
                </c:pt>
                <c:pt idx="7">
                  <c:v>-0.55892857142857144</c:v>
                </c:pt>
                <c:pt idx="8">
                  <c:v>-0.52857142857142858</c:v>
                </c:pt>
                <c:pt idx="9">
                  <c:v>-0.5089285714285714</c:v>
                </c:pt>
                <c:pt idx="10">
                  <c:v>-0.5</c:v>
                </c:pt>
                <c:pt idx="11">
                  <c:v>-0.50178571428571428</c:v>
                </c:pt>
                <c:pt idx="12">
                  <c:v>-0.51428571428571423</c:v>
                </c:pt>
                <c:pt idx="13">
                  <c:v>-0.53749999999999998</c:v>
                </c:pt>
                <c:pt idx="14">
                  <c:v>-0.5714285714285714</c:v>
                </c:pt>
                <c:pt idx="15">
                  <c:v>-0.6160714285714286</c:v>
                </c:pt>
                <c:pt idx="16">
                  <c:v>-0.67142857142857149</c:v>
                </c:pt>
                <c:pt idx="17">
                  <c:v>-0.73750000000000004</c:v>
                </c:pt>
                <c:pt idx="18">
                  <c:v>-0.81428571428571428</c:v>
                </c:pt>
                <c:pt idx="19">
                  <c:v>-0.90178571428571419</c:v>
                </c:pt>
                <c:pt idx="20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6F4-446A-95C3-882437E8CF05}"/>
            </c:ext>
          </c:extLst>
        </c:ser>
        <c:ser>
          <c:idx val="13"/>
          <c:order val="13"/>
          <c:tx>
            <c:strRef>
              <c:f>Sheet2!$CB$28</c:f>
              <c:strCache>
                <c:ptCount val="1"/>
                <c:pt idx="0">
                  <c:v>hh 3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Sheet2!$BN$29:$BN$49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Sheet2!$CB$29:$CB$49</c:f>
              <c:numCache>
                <c:formatCode>General</c:formatCode>
                <c:ptCount val="21"/>
                <c:pt idx="0">
                  <c:v>-1</c:v>
                </c:pt>
                <c:pt idx="1">
                  <c:v>-0.95</c:v>
                </c:pt>
                <c:pt idx="2">
                  <c:v>-0.9</c:v>
                </c:pt>
                <c:pt idx="3">
                  <c:v>-0.85</c:v>
                </c:pt>
                <c:pt idx="4">
                  <c:v>-0.8</c:v>
                </c:pt>
                <c:pt idx="5">
                  <c:v>-0.75</c:v>
                </c:pt>
                <c:pt idx="6">
                  <c:v>-0.7</c:v>
                </c:pt>
                <c:pt idx="7">
                  <c:v>-0.62857142857142856</c:v>
                </c:pt>
                <c:pt idx="8">
                  <c:v>-0.5714285714285714</c:v>
                </c:pt>
                <c:pt idx="9">
                  <c:v>-0.52857142857142858</c:v>
                </c:pt>
                <c:pt idx="10">
                  <c:v>-0.5</c:v>
                </c:pt>
                <c:pt idx="11">
                  <c:v>-0.48571428571428565</c:v>
                </c:pt>
                <c:pt idx="12">
                  <c:v>-0.48571428571428565</c:v>
                </c:pt>
                <c:pt idx="13">
                  <c:v>-0.5</c:v>
                </c:pt>
                <c:pt idx="14">
                  <c:v>-0.52857142857142858</c:v>
                </c:pt>
                <c:pt idx="15">
                  <c:v>-0.5714285714285714</c:v>
                </c:pt>
                <c:pt idx="16">
                  <c:v>-0.62857142857142867</c:v>
                </c:pt>
                <c:pt idx="17">
                  <c:v>-0.7</c:v>
                </c:pt>
                <c:pt idx="18">
                  <c:v>-0.7857142857142857</c:v>
                </c:pt>
                <c:pt idx="19">
                  <c:v>-0.88571428571428557</c:v>
                </c:pt>
                <c:pt idx="20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6F4-446A-95C3-882437E8CF05}"/>
            </c:ext>
          </c:extLst>
        </c:ser>
        <c:ser>
          <c:idx val="14"/>
          <c:order val="14"/>
          <c:tx>
            <c:strRef>
              <c:f>Sheet2!$CC$28</c:f>
              <c:strCache>
                <c:ptCount val="1"/>
                <c:pt idx="0">
                  <c:v>hh 2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Sheet2!$BN$29:$BN$49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Sheet2!$CC$29:$CC$49</c:f>
              <c:numCache>
                <c:formatCode>General</c:formatCode>
                <c:ptCount val="21"/>
                <c:pt idx="0">
                  <c:v>-1</c:v>
                </c:pt>
                <c:pt idx="1">
                  <c:v>-0.95</c:v>
                </c:pt>
                <c:pt idx="2">
                  <c:v>-0.9</c:v>
                </c:pt>
                <c:pt idx="3">
                  <c:v>-0.85</c:v>
                </c:pt>
                <c:pt idx="4">
                  <c:v>-0.8</c:v>
                </c:pt>
                <c:pt idx="5">
                  <c:v>-0.75</c:v>
                </c:pt>
                <c:pt idx="6">
                  <c:v>-0.7</c:v>
                </c:pt>
                <c:pt idx="7">
                  <c:v>-0.65</c:v>
                </c:pt>
                <c:pt idx="8">
                  <c:v>-0.6</c:v>
                </c:pt>
                <c:pt idx="9">
                  <c:v>-0.55000000000000004</c:v>
                </c:pt>
                <c:pt idx="10">
                  <c:v>-0.5</c:v>
                </c:pt>
                <c:pt idx="11">
                  <c:v>-0.45357142857142851</c:v>
                </c:pt>
                <c:pt idx="12">
                  <c:v>-0.4285714285714286</c:v>
                </c:pt>
                <c:pt idx="13">
                  <c:v>-0.42500000000000004</c:v>
                </c:pt>
                <c:pt idx="14">
                  <c:v>-0.44285714285714284</c:v>
                </c:pt>
                <c:pt idx="15">
                  <c:v>-0.4821428571428571</c:v>
                </c:pt>
                <c:pt idx="16">
                  <c:v>-0.54285714285714293</c:v>
                </c:pt>
                <c:pt idx="17">
                  <c:v>-0.62500000000000011</c:v>
                </c:pt>
                <c:pt idx="18">
                  <c:v>-0.72857142857142876</c:v>
                </c:pt>
                <c:pt idx="19">
                  <c:v>-0.85357142857142843</c:v>
                </c:pt>
                <c:pt idx="20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6F4-446A-95C3-882437E8CF05}"/>
            </c:ext>
          </c:extLst>
        </c:ser>
        <c:ser>
          <c:idx val="15"/>
          <c:order val="15"/>
          <c:tx>
            <c:strRef>
              <c:f>Sheet2!$CD$28</c:f>
              <c:strCache>
                <c:ptCount val="1"/>
                <c:pt idx="0">
                  <c:v>hh 1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Sheet2!$BN$29:$BN$49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Sheet2!$CD$29:$CD$49</c:f>
              <c:numCache>
                <c:formatCode>General</c:formatCode>
                <c:ptCount val="21"/>
                <c:pt idx="0">
                  <c:v>-1</c:v>
                </c:pt>
                <c:pt idx="1">
                  <c:v>-0.95</c:v>
                </c:pt>
                <c:pt idx="2">
                  <c:v>-0.9</c:v>
                </c:pt>
                <c:pt idx="3">
                  <c:v>-0.85</c:v>
                </c:pt>
                <c:pt idx="4">
                  <c:v>-0.8</c:v>
                </c:pt>
                <c:pt idx="5">
                  <c:v>-0.75</c:v>
                </c:pt>
                <c:pt idx="6">
                  <c:v>-0.7</c:v>
                </c:pt>
                <c:pt idx="7">
                  <c:v>-0.65</c:v>
                </c:pt>
                <c:pt idx="8">
                  <c:v>-0.6</c:v>
                </c:pt>
                <c:pt idx="9">
                  <c:v>-0.55000000000000004</c:v>
                </c:pt>
                <c:pt idx="10">
                  <c:v>-0.5</c:v>
                </c:pt>
                <c:pt idx="11">
                  <c:v>-0.44999999999999996</c:v>
                </c:pt>
                <c:pt idx="12">
                  <c:v>-0.4</c:v>
                </c:pt>
                <c:pt idx="13">
                  <c:v>-0.35</c:v>
                </c:pt>
                <c:pt idx="14">
                  <c:v>-0.30000000000000004</c:v>
                </c:pt>
                <c:pt idx="15">
                  <c:v>-0.25</c:v>
                </c:pt>
                <c:pt idx="16">
                  <c:v>-0.28571428571428586</c:v>
                </c:pt>
                <c:pt idx="17">
                  <c:v>-0.4</c:v>
                </c:pt>
                <c:pt idx="18">
                  <c:v>-0.55714285714285727</c:v>
                </c:pt>
                <c:pt idx="19">
                  <c:v>-0.75714285714285701</c:v>
                </c:pt>
                <c:pt idx="20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6F4-446A-95C3-882437E8CF05}"/>
            </c:ext>
          </c:extLst>
        </c:ser>
        <c:ser>
          <c:idx val="16"/>
          <c:order val="16"/>
          <c:tx>
            <c:strRef>
              <c:f>Sheet2!$CE$28</c:f>
              <c:strCache>
                <c:ptCount val="1"/>
                <c:pt idx="0">
                  <c:v>hh 0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Sheet2!$BN$29:$BN$49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Sheet2!$CE$29:$CE$49</c:f>
              <c:numCache>
                <c:formatCode>General</c:formatCode>
                <c:ptCount val="21"/>
                <c:pt idx="0">
                  <c:v>-1</c:v>
                </c:pt>
                <c:pt idx="1">
                  <c:v>-0.95</c:v>
                </c:pt>
                <c:pt idx="2">
                  <c:v>-0.9</c:v>
                </c:pt>
                <c:pt idx="3">
                  <c:v>-0.85</c:v>
                </c:pt>
                <c:pt idx="4">
                  <c:v>-0.8</c:v>
                </c:pt>
                <c:pt idx="5">
                  <c:v>-0.75</c:v>
                </c:pt>
                <c:pt idx="6">
                  <c:v>-0.7</c:v>
                </c:pt>
                <c:pt idx="7">
                  <c:v>-0.65</c:v>
                </c:pt>
                <c:pt idx="8">
                  <c:v>-0.6</c:v>
                </c:pt>
                <c:pt idx="9">
                  <c:v>-0.55000000000000004</c:v>
                </c:pt>
                <c:pt idx="10">
                  <c:v>-0.5</c:v>
                </c:pt>
                <c:pt idx="11">
                  <c:v>-0.44999999999999996</c:v>
                </c:pt>
                <c:pt idx="12">
                  <c:v>-0.4</c:v>
                </c:pt>
                <c:pt idx="13">
                  <c:v>-0.35</c:v>
                </c:pt>
                <c:pt idx="14">
                  <c:v>-0.30000000000000004</c:v>
                </c:pt>
                <c:pt idx="15">
                  <c:v>-0.25</c:v>
                </c:pt>
                <c:pt idx="16">
                  <c:v>-0.19999999999999996</c:v>
                </c:pt>
                <c:pt idx="17">
                  <c:v>-0.15000000000000002</c:v>
                </c:pt>
                <c:pt idx="18">
                  <c:v>-9.9999999999999978E-2</c:v>
                </c:pt>
                <c:pt idx="19">
                  <c:v>-5.0000000000000044E-2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6F4-446A-95C3-882437E8C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3877567"/>
        <c:axId val="1963882367"/>
      </c:scatterChart>
      <c:valAx>
        <c:axId val="1963877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882367"/>
        <c:crosses val="autoZero"/>
        <c:crossBetween val="midCat"/>
      </c:valAx>
      <c:valAx>
        <c:axId val="196388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877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Sheet3!$C$4</c:f>
              <c:strCache>
                <c:ptCount val="1"/>
                <c:pt idx="0">
                  <c:v>SOC 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Sheet3!$B$5:$B$16</c:f>
              <c:numCache>
                <c:formatCode>General</c:formatCode>
                <c:ptCount val="12"/>
                <c:pt idx="0">
                  <c:v>16</c:v>
                </c:pt>
                <c:pt idx="1">
                  <c:v>15</c:v>
                </c:pt>
                <c:pt idx="2">
                  <c:v>14</c:v>
                </c:pt>
                <c:pt idx="3">
                  <c:v>13</c:v>
                </c:pt>
                <c:pt idx="4">
                  <c:v>12</c:v>
                </c:pt>
                <c:pt idx="5">
                  <c:v>11</c:v>
                </c:pt>
                <c:pt idx="6">
                  <c:v>10</c:v>
                </c:pt>
                <c:pt idx="7">
                  <c:v>9</c:v>
                </c:pt>
                <c:pt idx="8">
                  <c:v>8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</c:numCache>
            </c:numRef>
          </c:xVal>
          <c:yVal>
            <c:numRef>
              <c:f>Sheet3!$C$5:$C$16</c:f>
              <c:numCache>
                <c:formatCode>General</c:formatCode>
                <c:ptCount val="12"/>
                <c:pt idx="0">
                  <c:v>0.5357142857142857</c:v>
                </c:pt>
                <c:pt idx="1">
                  <c:v>0.5714285714285714</c:v>
                </c:pt>
                <c:pt idx="2">
                  <c:v>0.61224489795918369</c:v>
                </c:pt>
                <c:pt idx="3">
                  <c:v>0.65934065934065933</c:v>
                </c:pt>
                <c:pt idx="4">
                  <c:v>0.71428571428571419</c:v>
                </c:pt>
                <c:pt idx="5">
                  <c:v>0.77922077922077926</c:v>
                </c:pt>
                <c:pt idx="6">
                  <c:v>0.8571428571428571</c:v>
                </c:pt>
                <c:pt idx="7">
                  <c:v>0.95238095238095233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5E-4E56-9936-7BC0AF30FEAE}"/>
            </c:ext>
          </c:extLst>
        </c:ser>
        <c:ser>
          <c:idx val="1"/>
          <c:order val="1"/>
          <c:tx>
            <c:strRef>
              <c:f>Sheet3!$D$4</c:f>
              <c:strCache>
                <c:ptCount val="1"/>
                <c:pt idx="0">
                  <c:v>SOC 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Sheet3!$B$5:$B$16</c:f>
              <c:numCache>
                <c:formatCode>General</c:formatCode>
                <c:ptCount val="12"/>
                <c:pt idx="0">
                  <c:v>16</c:v>
                </c:pt>
                <c:pt idx="1">
                  <c:v>15</c:v>
                </c:pt>
                <c:pt idx="2">
                  <c:v>14</c:v>
                </c:pt>
                <c:pt idx="3">
                  <c:v>13</c:v>
                </c:pt>
                <c:pt idx="4">
                  <c:v>12</c:v>
                </c:pt>
                <c:pt idx="5">
                  <c:v>11</c:v>
                </c:pt>
                <c:pt idx="6">
                  <c:v>10</c:v>
                </c:pt>
                <c:pt idx="7">
                  <c:v>9</c:v>
                </c:pt>
                <c:pt idx="8">
                  <c:v>8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</c:numCache>
            </c:numRef>
          </c:xVal>
          <c:yVal>
            <c:numRef>
              <c:f>Sheet3!$D$5:$D$16</c:f>
              <c:numCache>
                <c:formatCode>General</c:formatCode>
                <c:ptCount val="12"/>
                <c:pt idx="0">
                  <c:v>0.48214285714285721</c:v>
                </c:pt>
                <c:pt idx="1">
                  <c:v>0.51428571428571423</c:v>
                </c:pt>
                <c:pt idx="2">
                  <c:v>0.55102040816326525</c:v>
                </c:pt>
                <c:pt idx="3">
                  <c:v>0.59340659340659341</c:v>
                </c:pt>
                <c:pt idx="4">
                  <c:v>0.64285714285714279</c:v>
                </c:pt>
                <c:pt idx="5">
                  <c:v>0.70129870129870131</c:v>
                </c:pt>
                <c:pt idx="6">
                  <c:v>0.77142857142857146</c:v>
                </c:pt>
                <c:pt idx="7">
                  <c:v>0.85714285714285721</c:v>
                </c:pt>
                <c:pt idx="8">
                  <c:v>0.9642857142857143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5E-4E56-9936-7BC0AF30FEAE}"/>
            </c:ext>
          </c:extLst>
        </c:ser>
        <c:ser>
          <c:idx val="2"/>
          <c:order val="2"/>
          <c:tx>
            <c:strRef>
              <c:f>Sheet3!$E$4</c:f>
              <c:strCache>
                <c:ptCount val="1"/>
                <c:pt idx="0">
                  <c:v>SOC 20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Sheet3!$B$5:$B$16</c:f>
              <c:numCache>
                <c:formatCode>General</c:formatCode>
                <c:ptCount val="12"/>
                <c:pt idx="0">
                  <c:v>16</c:v>
                </c:pt>
                <c:pt idx="1">
                  <c:v>15</c:v>
                </c:pt>
                <c:pt idx="2">
                  <c:v>14</c:v>
                </c:pt>
                <c:pt idx="3">
                  <c:v>13</c:v>
                </c:pt>
                <c:pt idx="4">
                  <c:v>12</c:v>
                </c:pt>
                <c:pt idx="5">
                  <c:v>11</c:v>
                </c:pt>
                <c:pt idx="6">
                  <c:v>10</c:v>
                </c:pt>
                <c:pt idx="7">
                  <c:v>9</c:v>
                </c:pt>
                <c:pt idx="8">
                  <c:v>8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</c:numCache>
            </c:numRef>
          </c:xVal>
          <c:yVal>
            <c:numRef>
              <c:f>Sheet3!$E$5:$E$16</c:f>
              <c:numCache>
                <c:formatCode>General</c:formatCode>
                <c:ptCount val="12"/>
                <c:pt idx="0">
                  <c:v>0.4285714285714286</c:v>
                </c:pt>
                <c:pt idx="1">
                  <c:v>0.45714285714285718</c:v>
                </c:pt>
                <c:pt idx="2">
                  <c:v>0.48979591836734693</c:v>
                </c:pt>
                <c:pt idx="3">
                  <c:v>0.52747252747252749</c:v>
                </c:pt>
                <c:pt idx="4">
                  <c:v>0.5714285714285714</c:v>
                </c:pt>
                <c:pt idx="5">
                  <c:v>0.62337662337662336</c:v>
                </c:pt>
                <c:pt idx="6">
                  <c:v>0.68571428571428572</c:v>
                </c:pt>
                <c:pt idx="7">
                  <c:v>0.76190476190476197</c:v>
                </c:pt>
                <c:pt idx="8">
                  <c:v>0.85714285714285721</c:v>
                </c:pt>
                <c:pt idx="9">
                  <c:v>0.97959183673469397</c:v>
                </c:pt>
                <c:pt idx="10">
                  <c:v>1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5E-4E56-9936-7BC0AF30FEAE}"/>
            </c:ext>
          </c:extLst>
        </c:ser>
        <c:ser>
          <c:idx val="3"/>
          <c:order val="3"/>
          <c:tx>
            <c:strRef>
              <c:f>Sheet3!$F$4</c:f>
              <c:strCache>
                <c:ptCount val="1"/>
                <c:pt idx="0">
                  <c:v>SOC 30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Sheet3!$B$5:$B$16</c:f>
              <c:numCache>
                <c:formatCode>General</c:formatCode>
                <c:ptCount val="12"/>
                <c:pt idx="0">
                  <c:v>16</c:v>
                </c:pt>
                <c:pt idx="1">
                  <c:v>15</c:v>
                </c:pt>
                <c:pt idx="2">
                  <c:v>14</c:v>
                </c:pt>
                <c:pt idx="3">
                  <c:v>13</c:v>
                </c:pt>
                <c:pt idx="4">
                  <c:v>12</c:v>
                </c:pt>
                <c:pt idx="5">
                  <c:v>11</c:v>
                </c:pt>
                <c:pt idx="6">
                  <c:v>10</c:v>
                </c:pt>
                <c:pt idx="7">
                  <c:v>9</c:v>
                </c:pt>
                <c:pt idx="8">
                  <c:v>8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</c:numCache>
            </c:numRef>
          </c:xVal>
          <c:yVal>
            <c:numRef>
              <c:f>Sheet3!$F$5:$F$16</c:f>
              <c:numCache>
                <c:formatCode>General</c:formatCode>
                <c:ptCount val="12"/>
                <c:pt idx="0">
                  <c:v>0.375</c:v>
                </c:pt>
                <c:pt idx="1">
                  <c:v>0.4</c:v>
                </c:pt>
                <c:pt idx="2">
                  <c:v>0.4285714285714286</c:v>
                </c:pt>
                <c:pt idx="3">
                  <c:v>0.46153846153846145</c:v>
                </c:pt>
                <c:pt idx="4">
                  <c:v>0.49999999999999989</c:v>
                </c:pt>
                <c:pt idx="5">
                  <c:v>0.54545454545454541</c:v>
                </c:pt>
                <c:pt idx="6">
                  <c:v>0.59999999999999987</c:v>
                </c:pt>
                <c:pt idx="7">
                  <c:v>0.66666666666666652</c:v>
                </c:pt>
                <c:pt idx="8">
                  <c:v>0.74999999999999989</c:v>
                </c:pt>
                <c:pt idx="9">
                  <c:v>0.85714285714285698</c:v>
                </c:pt>
                <c:pt idx="10">
                  <c:v>1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25E-4E56-9936-7BC0AF30FEAE}"/>
            </c:ext>
          </c:extLst>
        </c:ser>
        <c:ser>
          <c:idx val="4"/>
          <c:order val="4"/>
          <c:tx>
            <c:strRef>
              <c:f>Sheet3!$G$4</c:f>
              <c:strCache>
                <c:ptCount val="1"/>
                <c:pt idx="0">
                  <c:v>SOC 40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Sheet3!$B$5:$B$16</c:f>
              <c:numCache>
                <c:formatCode>General</c:formatCode>
                <c:ptCount val="12"/>
                <c:pt idx="0">
                  <c:v>16</c:v>
                </c:pt>
                <c:pt idx="1">
                  <c:v>15</c:v>
                </c:pt>
                <c:pt idx="2">
                  <c:v>14</c:v>
                </c:pt>
                <c:pt idx="3">
                  <c:v>13</c:v>
                </c:pt>
                <c:pt idx="4">
                  <c:v>12</c:v>
                </c:pt>
                <c:pt idx="5">
                  <c:v>11</c:v>
                </c:pt>
                <c:pt idx="6">
                  <c:v>10</c:v>
                </c:pt>
                <c:pt idx="7">
                  <c:v>9</c:v>
                </c:pt>
                <c:pt idx="8">
                  <c:v>8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</c:numCache>
            </c:numRef>
          </c:xVal>
          <c:yVal>
            <c:numRef>
              <c:f>Sheet3!$G$5:$G$16</c:f>
              <c:numCache>
                <c:formatCode>General</c:formatCode>
                <c:ptCount val="12"/>
                <c:pt idx="0">
                  <c:v>0.3214285714285714</c:v>
                </c:pt>
                <c:pt idx="1">
                  <c:v>0.34285714285714286</c:v>
                </c:pt>
                <c:pt idx="2">
                  <c:v>0.36734693877551017</c:v>
                </c:pt>
                <c:pt idx="3">
                  <c:v>0.39560439560439553</c:v>
                </c:pt>
                <c:pt idx="4">
                  <c:v>0.42857142857142849</c:v>
                </c:pt>
                <c:pt idx="5">
                  <c:v>0.46753246753246747</c:v>
                </c:pt>
                <c:pt idx="6">
                  <c:v>0.51428571428571423</c:v>
                </c:pt>
                <c:pt idx="7">
                  <c:v>0.5714285714285714</c:v>
                </c:pt>
                <c:pt idx="8">
                  <c:v>0.64285714285714279</c:v>
                </c:pt>
                <c:pt idx="9">
                  <c:v>0.73469387755102034</c:v>
                </c:pt>
                <c:pt idx="10">
                  <c:v>0.8571428571428571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25E-4E56-9936-7BC0AF30FEAE}"/>
            </c:ext>
          </c:extLst>
        </c:ser>
        <c:ser>
          <c:idx val="5"/>
          <c:order val="5"/>
          <c:tx>
            <c:strRef>
              <c:f>Sheet3!$H$4</c:f>
              <c:strCache>
                <c:ptCount val="1"/>
                <c:pt idx="0">
                  <c:v>SOC 50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Sheet3!$B$5:$B$16</c:f>
              <c:numCache>
                <c:formatCode>General</c:formatCode>
                <c:ptCount val="12"/>
                <c:pt idx="0">
                  <c:v>16</c:v>
                </c:pt>
                <c:pt idx="1">
                  <c:v>15</c:v>
                </c:pt>
                <c:pt idx="2">
                  <c:v>14</c:v>
                </c:pt>
                <c:pt idx="3">
                  <c:v>13</c:v>
                </c:pt>
                <c:pt idx="4">
                  <c:v>12</c:v>
                </c:pt>
                <c:pt idx="5">
                  <c:v>11</c:v>
                </c:pt>
                <c:pt idx="6">
                  <c:v>10</c:v>
                </c:pt>
                <c:pt idx="7">
                  <c:v>9</c:v>
                </c:pt>
                <c:pt idx="8">
                  <c:v>8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</c:numCache>
            </c:numRef>
          </c:xVal>
          <c:yVal>
            <c:numRef>
              <c:f>Sheet3!$H$5:$H$16</c:f>
              <c:numCache>
                <c:formatCode>General</c:formatCode>
                <c:ptCount val="12"/>
                <c:pt idx="0">
                  <c:v>0.26785714285714279</c:v>
                </c:pt>
                <c:pt idx="1">
                  <c:v>0.2857142857142857</c:v>
                </c:pt>
                <c:pt idx="2">
                  <c:v>0.30612244897959173</c:v>
                </c:pt>
                <c:pt idx="3">
                  <c:v>0.32967032967032961</c:v>
                </c:pt>
                <c:pt idx="4">
                  <c:v>0.3571428571428571</c:v>
                </c:pt>
                <c:pt idx="5">
                  <c:v>0.38961038961038963</c:v>
                </c:pt>
                <c:pt idx="6">
                  <c:v>0.4285714285714286</c:v>
                </c:pt>
                <c:pt idx="7">
                  <c:v>0.47619047619047616</c:v>
                </c:pt>
                <c:pt idx="8">
                  <c:v>0.5357142857142857</c:v>
                </c:pt>
                <c:pt idx="9">
                  <c:v>0.61224489795918369</c:v>
                </c:pt>
                <c:pt idx="10">
                  <c:v>0.71428571428571419</c:v>
                </c:pt>
                <c:pt idx="11">
                  <c:v>0.8571428571428571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25E-4E56-9936-7BC0AF30FEAE}"/>
            </c:ext>
          </c:extLst>
        </c:ser>
        <c:ser>
          <c:idx val="6"/>
          <c:order val="6"/>
          <c:tx>
            <c:strRef>
              <c:f>Sheet3!$I$4</c:f>
              <c:strCache>
                <c:ptCount val="1"/>
                <c:pt idx="0">
                  <c:v>SOC 60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Sheet3!$B$5:$B$16</c:f>
              <c:numCache>
                <c:formatCode>General</c:formatCode>
                <c:ptCount val="12"/>
                <c:pt idx="0">
                  <c:v>16</c:v>
                </c:pt>
                <c:pt idx="1">
                  <c:v>15</c:v>
                </c:pt>
                <c:pt idx="2">
                  <c:v>14</c:v>
                </c:pt>
                <c:pt idx="3">
                  <c:v>13</c:v>
                </c:pt>
                <c:pt idx="4">
                  <c:v>12</c:v>
                </c:pt>
                <c:pt idx="5">
                  <c:v>11</c:v>
                </c:pt>
                <c:pt idx="6">
                  <c:v>10</c:v>
                </c:pt>
                <c:pt idx="7">
                  <c:v>9</c:v>
                </c:pt>
                <c:pt idx="8">
                  <c:v>8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</c:numCache>
            </c:numRef>
          </c:xVal>
          <c:yVal>
            <c:numRef>
              <c:f>Sheet3!$I$5:$I$16</c:f>
              <c:numCache>
                <c:formatCode>General</c:formatCode>
                <c:ptCount val="12"/>
                <c:pt idx="0">
                  <c:v>0.2142857142857143</c:v>
                </c:pt>
                <c:pt idx="1">
                  <c:v>0.22857142857142854</c:v>
                </c:pt>
                <c:pt idx="2">
                  <c:v>0.24489795918367352</c:v>
                </c:pt>
                <c:pt idx="3">
                  <c:v>0.2637362637362638</c:v>
                </c:pt>
                <c:pt idx="4">
                  <c:v>0.2857142857142857</c:v>
                </c:pt>
                <c:pt idx="5">
                  <c:v>0.31168831168831168</c:v>
                </c:pt>
                <c:pt idx="6">
                  <c:v>0.34285714285714286</c:v>
                </c:pt>
                <c:pt idx="7">
                  <c:v>0.38095238095238093</c:v>
                </c:pt>
                <c:pt idx="8">
                  <c:v>0.4285714285714286</c:v>
                </c:pt>
                <c:pt idx="9">
                  <c:v>0.48979591836734693</c:v>
                </c:pt>
                <c:pt idx="10">
                  <c:v>0.5714285714285714</c:v>
                </c:pt>
                <c:pt idx="11">
                  <c:v>0.68571428571428572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25E-4E56-9936-7BC0AF30FEAE}"/>
            </c:ext>
          </c:extLst>
        </c:ser>
        <c:ser>
          <c:idx val="7"/>
          <c:order val="7"/>
          <c:tx>
            <c:strRef>
              <c:f>Sheet3!$J$4</c:f>
              <c:strCache>
                <c:ptCount val="1"/>
                <c:pt idx="0">
                  <c:v>SOC 70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Sheet3!$B$5:$B$16</c:f>
              <c:numCache>
                <c:formatCode>General</c:formatCode>
                <c:ptCount val="12"/>
                <c:pt idx="0">
                  <c:v>16</c:v>
                </c:pt>
                <c:pt idx="1">
                  <c:v>15</c:v>
                </c:pt>
                <c:pt idx="2">
                  <c:v>14</c:v>
                </c:pt>
                <c:pt idx="3">
                  <c:v>13</c:v>
                </c:pt>
                <c:pt idx="4">
                  <c:v>12</c:v>
                </c:pt>
                <c:pt idx="5">
                  <c:v>11</c:v>
                </c:pt>
                <c:pt idx="6">
                  <c:v>10</c:v>
                </c:pt>
                <c:pt idx="7">
                  <c:v>9</c:v>
                </c:pt>
                <c:pt idx="8">
                  <c:v>8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</c:numCache>
            </c:numRef>
          </c:xVal>
          <c:yVal>
            <c:numRef>
              <c:f>Sheet3!$J$5:$J$16</c:f>
              <c:numCache>
                <c:formatCode>General</c:formatCode>
                <c:ptCount val="12"/>
                <c:pt idx="0">
                  <c:v>0.1607142857142857</c:v>
                </c:pt>
                <c:pt idx="1">
                  <c:v>0.17142857142857137</c:v>
                </c:pt>
                <c:pt idx="2">
                  <c:v>0.18367346938775508</c:v>
                </c:pt>
                <c:pt idx="3">
                  <c:v>0.19780219780219777</c:v>
                </c:pt>
                <c:pt idx="4">
                  <c:v>0.2142857142857143</c:v>
                </c:pt>
                <c:pt idx="5">
                  <c:v>0.23376623376623373</c:v>
                </c:pt>
                <c:pt idx="6">
                  <c:v>0.25714285714285712</c:v>
                </c:pt>
                <c:pt idx="7">
                  <c:v>0.2857142857142857</c:v>
                </c:pt>
                <c:pt idx="8">
                  <c:v>0.3214285714285714</c:v>
                </c:pt>
                <c:pt idx="9">
                  <c:v>0.36734693877551017</c:v>
                </c:pt>
                <c:pt idx="10">
                  <c:v>0.4285714285714286</c:v>
                </c:pt>
                <c:pt idx="11">
                  <c:v>0.51428571428571435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25E-4E56-9936-7BC0AF30FEAE}"/>
            </c:ext>
          </c:extLst>
        </c:ser>
        <c:ser>
          <c:idx val="8"/>
          <c:order val="8"/>
          <c:tx>
            <c:strRef>
              <c:f>Sheet3!$K$4</c:f>
              <c:strCache>
                <c:ptCount val="1"/>
                <c:pt idx="0">
                  <c:v>SOC 80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Sheet3!$B$5:$B$16</c:f>
              <c:numCache>
                <c:formatCode>General</c:formatCode>
                <c:ptCount val="12"/>
                <c:pt idx="0">
                  <c:v>16</c:v>
                </c:pt>
                <c:pt idx="1">
                  <c:v>15</c:v>
                </c:pt>
                <c:pt idx="2">
                  <c:v>14</c:v>
                </c:pt>
                <c:pt idx="3">
                  <c:v>13</c:v>
                </c:pt>
                <c:pt idx="4">
                  <c:v>12</c:v>
                </c:pt>
                <c:pt idx="5">
                  <c:v>11</c:v>
                </c:pt>
                <c:pt idx="6">
                  <c:v>10</c:v>
                </c:pt>
                <c:pt idx="7">
                  <c:v>9</c:v>
                </c:pt>
                <c:pt idx="8">
                  <c:v>8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</c:numCache>
            </c:numRef>
          </c:xVal>
          <c:yVal>
            <c:numRef>
              <c:f>Sheet3!$K$5:$K$16</c:f>
              <c:numCache>
                <c:formatCode>General</c:formatCode>
                <c:ptCount val="12"/>
                <c:pt idx="0">
                  <c:v>0.1071428571428571</c:v>
                </c:pt>
                <c:pt idx="1">
                  <c:v>0.11428571428571421</c:v>
                </c:pt>
                <c:pt idx="2">
                  <c:v>0.12244897959183665</c:v>
                </c:pt>
                <c:pt idx="3">
                  <c:v>0.13186813186813184</c:v>
                </c:pt>
                <c:pt idx="4">
                  <c:v>0.14285714285714279</c:v>
                </c:pt>
                <c:pt idx="5">
                  <c:v>0.15584415584415579</c:v>
                </c:pt>
                <c:pt idx="6">
                  <c:v>0.17142857142857137</c:v>
                </c:pt>
                <c:pt idx="7">
                  <c:v>0.19047619047619035</c:v>
                </c:pt>
                <c:pt idx="8">
                  <c:v>0.21428571428571419</c:v>
                </c:pt>
                <c:pt idx="9">
                  <c:v>0.24489795918367341</c:v>
                </c:pt>
                <c:pt idx="10">
                  <c:v>0.28571428571428559</c:v>
                </c:pt>
                <c:pt idx="11">
                  <c:v>0.34285714285714275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25E-4E56-9936-7BC0AF30FEAE}"/>
            </c:ext>
          </c:extLst>
        </c:ser>
        <c:ser>
          <c:idx val="9"/>
          <c:order val="9"/>
          <c:tx>
            <c:strRef>
              <c:f>Sheet3!$L$4</c:f>
              <c:strCache>
                <c:ptCount val="1"/>
                <c:pt idx="0">
                  <c:v>SOC 90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Sheet3!$B$5:$B$16</c:f>
              <c:numCache>
                <c:formatCode>General</c:formatCode>
                <c:ptCount val="12"/>
                <c:pt idx="0">
                  <c:v>16</c:v>
                </c:pt>
                <c:pt idx="1">
                  <c:v>15</c:v>
                </c:pt>
                <c:pt idx="2">
                  <c:v>14</c:v>
                </c:pt>
                <c:pt idx="3">
                  <c:v>13</c:v>
                </c:pt>
                <c:pt idx="4">
                  <c:v>12</c:v>
                </c:pt>
                <c:pt idx="5">
                  <c:v>11</c:v>
                </c:pt>
                <c:pt idx="6">
                  <c:v>10</c:v>
                </c:pt>
                <c:pt idx="7">
                  <c:v>9</c:v>
                </c:pt>
                <c:pt idx="8">
                  <c:v>8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</c:numCache>
            </c:numRef>
          </c:xVal>
          <c:yVal>
            <c:numRef>
              <c:f>Sheet3!$L$5:$L$16</c:f>
              <c:numCache>
                <c:formatCode>General</c:formatCode>
                <c:ptCount val="12"/>
                <c:pt idx="0">
                  <c:v>5.3571428571428603E-2</c:v>
                </c:pt>
                <c:pt idx="1">
                  <c:v>5.7142857142857162E-2</c:v>
                </c:pt>
                <c:pt idx="2">
                  <c:v>6.1224489795918435E-2</c:v>
                </c:pt>
                <c:pt idx="3">
                  <c:v>6.5934065934065922E-2</c:v>
                </c:pt>
                <c:pt idx="4">
                  <c:v>7.1428571428571508E-2</c:v>
                </c:pt>
                <c:pt idx="5">
                  <c:v>7.7922077922077948E-2</c:v>
                </c:pt>
                <c:pt idx="6">
                  <c:v>8.5714285714285743E-2</c:v>
                </c:pt>
                <c:pt idx="7">
                  <c:v>9.5238095238095344E-2</c:v>
                </c:pt>
                <c:pt idx="8">
                  <c:v>0.1071428571428571</c:v>
                </c:pt>
                <c:pt idx="9">
                  <c:v>0.12244897959183665</c:v>
                </c:pt>
                <c:pt idx="10">
                  <c:v>0.14285714285714279</c:v>
                </c:pt>
                <c:pt idx="11">
                  <c:v>0.17142857142857137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25E-4E56-9936-7BC0AF30FEAE}"/>
            </c:ext>
          </c:extLst>
        </c:ser>
        <c:ser>
          <c:idx val="10"/>
          <c:order val="10"/>
          <c:tx>
            <c:strRef>
              <c:f>Sheet3!$M$4</c:f>
              <c:strCache>
                <c:ptCount val="1"/>
                <c:pt idx="0">
                  <c:v>SOC 100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Sheet3!$B$5:$B$16</c:f>
              <c:numCache>
                <c:formatCode>General</c:formatCode>
                <c:ptCount val="12"/>
                <c:pt idx="0">
                  <c:v>16</c:v>
                </c:pt>
                <c:pt idx="1">
                  <c:v>15</c:v>
                </c:pt>
                <c:pt idx="2">
                  <c:v>14</c:v>
                </c:pt>
                <c:pt idx="3">
                  <c:v>13</c:v>
                </c:pt>
                <c:pt idx="4">
                  <c:v>12</c:v>
                </c:pt>
                <c:pt idx="5">
                  <c:v>11</c:v>
                </c:pt>
                <c:pt idx="6">
                  <c:v>10</c:v>
                </c:pt>
                <c:pt idx="7">
                  <c:v>9</c:v>
                </c:pt>
                <c:pt idx="8">
                  <c:v>8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</c:numCache>
            </c:numRef>
          </c:xVal>
          <c:yVal>
            <c:numRef>
              <c:f>Sheet3!$M$5:$M$16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25E-4E56-9936-7BC0AF30F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376384"/>
        <c:axId val="1228375904"/>
      </c:scatterChart>
      <c:valAx>
        <c:axId val="1228376384"/>
        <c:scaling>
          <c:orientation val="minMax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Remaining 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375904"/>
        <c:crosses val="autoZero"/>
        <c:crossBetween val="midCat"/>
      </c:valAx>
      <c:valAx>
        <c:axId val="122837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Reward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376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27</xdr:row>
      <xdr:rowOff>14287</xdr:rowOff>
    </xdr:from>
    <xdr:to>
      <xdr:col>18</xdr:col>
      <xdr:colOff>314325</xdr:colOff>
      <xdr:row>41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4A95F4-8958-0FA4-D5A1-299C0EB2F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179014</xdr:colOff>
      <xdr:row>3</xdr:row>
      <xdr:rowOff>81522</xdr:rowOff>
    </xdr:from>
    <xdr:to>
      <xdr:col>22</xdr:col>
      <xdr:colOff>479332</xdr:colOff>
      <xdr:row>17</xdr:row>
      <xdr:rowOff>157722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6F0B7BD-199F-9B29-DC97-FC945EF16C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67234</xdr:colOff>
      <xdr:row>49</xdr:row>
      <xdr:rowOff>156882</xdr:rowOff>
    </xdr:from>
    <xdr:to>
      <xdr:col>20</xdr:col>
      <xdr:colOff>336176</xdr:colOff>
      <xdr:row>76</xdr:row>
      <xdr:rowOff>112058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625CDA1-D570-49D0-3E59-1CB2CF0EAF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22411</xdr:colOff>
      <xdr:row>2</xdr:row>
      <xdr:rowOff>101972</xdr:rowOff>
    </xdr:from>
    <xdr:to>
      <xdr:col>48</xdr:col>
      <xdr:colOff>403411</xdr:colOff>
      <xdr:row>21</xdr:row>
      <xdr:rowOff>145675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F7F927AC-8E72-8385-16DC-7C4B8D81F0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336176</xdr:colOff>
      <xdr:row>1</xdr:row>
      <xdr:rowOff>180413</xdr:rowOff>
    </xdr:from>
    <xdr:to>
      <xdr:col>36</xdr:col>
      <xdr:colOff>67235</xdr:colOff>
      <xdr:row>22</xdr:row>
      <xdr:rowOff>78440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BD7EA300-CBE5-F61A-F366-FC7965388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46</xdr:col>
      <xdr:colOff>259774</xdr:colOff>
      <xdr:row>50</xdr:row>
      <xdr:rowOff>51956</xdr:rowOff>
    </xdr:from>
    <xdr:to>
      <xdr:col>61</xdr:col>
      <xdr:colOff>179294</xdr:colOff>
      <xdr:row>77</xdr:row>
      <xdr:rowOff>179294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156FC2-DA1D-B036-3F7E-A8A336C1BA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200687</xdr:colOff>
      <xdr:row>49</xdr:row>
      <xdr:rowOff>134570</xdr:rowOff>
    </xdr:from>
    <xdr:to>
      <xdr:col>42</xdr:col>
      <xdr:colOff>311727</xdr:colOff>
      <xdr:row>75</xdr:row>
      <xdr:rowOff>51955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29E64C-6E17-0CAC-6EE9-0A587B8988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49</xdr:row>
      <xdr:rowOff>169208</xdr:rowOff>
    </xdr:from>
    <xdr:to>
      <xdr:col>6</xdr:col>
      <xdr:colOff>33618</xdr:colOff>
      <xdr:row>64</xdr:row>
      <xdr:rowOff>54908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9B0591B-9E2E-1A7C-39ED-14D77B9E1C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56031</xdr:colOff>
      <xdr:row>76</xdr:row>
      <xdr:rowOff>113178</xdr:rowOff>
    </xdr:from>
    <xdr:to>
      <xdr:col>21</xdr:col>
      <xdr:colOff>78442</xdr:colOff>
      <xdr:row>104</xdr:row>
      <xdr:rowOff>123265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FEFF0B4-357E-C18A-A8C0-15199BA562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27</xdr:col>
      <xdr:colOff>510885</xdr:colOff>
      <xdr:row>75</xdr:row>
      <xdr:rowOff>117763</xdr:rowOff>
    </xdr:from>
    <xdr:to>
      <xdr:col>40</xdr:col>
      <xdr:colOff>138546</xdr:colOff>
      <xdr:row>98</xdr:row>
      <xdr:rowOff>103910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3F663EC-D144-CD2F-6A1F-81AFB8DFAC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63</xdr:col>
      <xdr:colOff>112569</xdr:colOff>
      <xdr:row>51</xdr:row>
      <xdr:rowOff>31171</xdr:rowOff>
    </xdr:from>
    <xdr:to>
      <xdr:col>83</xdr:col>
      <xdr:colOff>0</xdr:colOff>
      <xdr:row>86</xdr:row>
      <xdr:rowOff>190498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9980418-BCE9-F385-C5DF-291B506CDD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63</xdr:col>
      <xdr:colOff>216475</xdr:colOff>
      <xdr:row>85</xdr:row>
      <xdr:rowOff>135080</xdr:rowOff>
    </xdr:from>
    <xdr:to>
      <xdr:col>79</xdr:col>
      <xdr:colOff>554180</xdr:colOff>
      <xdr:row>113</xdr:row>
      <xdr:rowOff>190499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F6C677A-C8AF-B48A-AE42-4FB292269E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195261</xdr:colOff>
      <xdr:row>18</xdr:row>
      <xdr:rowOff>14286</xdr:rowOff>
    </xdr:from>
    <xdr:to>
      <xdr:col>16</xdr:col>
      <xdr:colOff>314324</xdr:colOff>
      <xdr:row>39</xdr:row>
      <xdr:rowOff>133349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A4DDCB-772B-FCEF-A4A5-D8D3D524E3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AC366-523C-435F-8BFE-9AE7108C6ECE}">
  <dimension ref="A1:M36"/>
  <sheetViews>
    <sheetView workbookViewId="0">
      <selection activeCell="G28" sqref="G28"/>
    </sheetView>
  </sheetViews>
  <sheetFormatPr defaultRowHeight="15" x14ac:dyDescent="0.25"/>
  <sheetData>
    <row r="1" spans="1:4" x14ac:dyDescent="0.25">
      <c r="A1" t="s">
        <v>0</v>
      </c>
      <c r="B1">
        <v>60000</v>
      </c>
    </row>
    <row r="2" spans="1:4" x14ac:dyDescent="0.25">
      <c r="A2" t="s">
        <v>1</v>
      </c>
      <c r="B2">
        <v>7000</v>
      </c>
    </row>
    <row r="3" spans="1:4" x14ac:dyDescent="0.25">
      <c r="A3" t="s">
        <v>3</v>
      </c>
      <c r="B3">
        <v>100</v>
      </c>
    </row>
    <row r="4" spans="1:4" x14ac:dyDescent="0.25">
      <c r="A4" t="s">
        <v>2</v>
      </c>
      <c r="B4" t="s">
        <v>4</v>
      </c>
      <c r="C4" t="s">
        <v>5</v>
      </c>
      <c r="D4" t="s">
        <v>6</v>
      </c>
    </row>
    <row r="5" spans="1:4" x14ac:dyDescent="0.25">
      <c r="A5">
        <v>0</v>
      </c>
      <c r="B5">
        <f>B$3-A5</f>
        <v>100</v>
      </c>
      <c r="C5">
        <f>B5*B$1/100</f>
        <v>60000</v>
      </c>
      <c r="D5">
        <f>C5/B$2</f>
        <v>8.5714285714285712</v>
      </c>
    </row>
    <row r="6" spans="1:4" x14ac:dyDescent="0.25">
      <c r="A6">
        <v>10</v>
      </c>
      <c r="B6">
        <f t="shared" ref="B6:B15" si="0">B$3-A6</f>
        <v>90</v>
      </c>
      <c r="C6">
        <f t="shared" ref="C6:C15" si="1">B6*B$1/100</f>
        <v>54000</v>
      </c>
      <c r="D6">
        <f t="shared" ref="D6:D15" si="2">C6/B$2</f>
        <v>7.7142857142857144</v>
      </c>
    </row>
    <row r="7" spans="1:4" x14ac:dyDescent="0.25">
      <c r="A7">
        <v>20</v>
      </c>
      <c r="B7">
        <f t="shared" si="0"/>
        <v>80</v>
      </c>
      <c r="C7">
        <f t="shared" si="1"/>
        <v>48000</v>
      </c>
      <c r="D7">
        <f t="shared" si="2"/>
        <v>6.8571428571428568</v>
      </c>
    </row>
    <row r="8" spans="1:4" x14ac:dyDescent="0.25">
      <c r="A8">
        <v>30</v>
      </c>
      <c r="B8">
        <f t="shared" si="0"/>
        <v>70</v>
      </c>
      <c r="C8">
        <f t="shared" si="1"/>
        <v>42000</v>
      </c>
      <c r="D8">
        <f t="shared" si="2"/>
        <v>6</v>
      </c>
    </row>
    <row r="9" spans="1:4" x14ac:dyDescent="0.25">
      <c r="A9">
        <v>40</v>
      </c>
      <c r="B9">
        <f t="shared" si="0"/>
        <v>60</v>
      </c>
      <c r="C9">
        <f t="shared" si="1"/>
        <v>36000</v>
      </c>
      <c r="D9">
        <f t="shared" si="2"/>
        <v>5.1428571428571432</v>
      </c>
    </row>
    <row r="10" spans="1:4" x14ac:dyDescent="0.25">
      <c r="A10">
        <v>50</v>
      </c>
      <c r="B10">
        <f t="shared" si="0"/>
        <v>50</v>
      </c>
      <c r="C10">
        <f t="shared" si="1"/>
        <v>30000</v>
      </c>
      <c r="D10">
        <f t="shared" si="2"/>
        <v>4.2857142857142856</v>
      </c>
    </row>
    <row r="11" spans="1:4" x14ac:dyDescent="0.25">
      <c r="A11">
        <v>60</v>
      </c>
      <c r="B11">
        <f t="shared" si="0"/>
        <v>40</v>
      </c>
      <c r="C11">
        <f t="shared" si="1"/>
        <v>24000</v>
      </c>
      <c r="D11">
        <f t="shared" si="2"/>
        <v>3.4285714285714284</v>
      </c>
    </row>
    <row r="12" spans="1:4" x14ac:dyDescent="0.25">
      <c r="A12">
        <v>70</v>
      </c>
      <c r="B12">
        <f t="shared" si="0"/>
        <v>30</v>
      </c>
      <c r="C12">
        <f t="shared" si="1"/>
        <v>18000</v>
      </c>
      <c r="D12">
        <f t="shared" si="2"/>
        <v>2.5714285714285716</v>
      </c>
    </row>
    <row r="13" spans="1:4" x14ac:dyDescent="0.25">
      <c r="A13">
        <v>80</v>
      </c>
      <c r="B13">
        <f t="shared" si="0"/>
        <v>20</v>
      </c>
      <c r="C13">
        <f t="shared" si="1"/>
        <v>12000</v>
      </c>
      <c r="D13">
        <f t="shared" si="2"/>
        <v>1.7142857142857142</v>
      </c>
    </row>
    <row r="14" spans="1:4" x14ac:dyDescent="0.25">
      <c r="A14">
        <v>90</v>
      </c>
      <c r="B14">
        <f t="shared" si="0"/>
        <v>10</v>
      </c>
      <c r="C14">
        <f t="shared" si="1"/>
        <v>6000</v>
      </c>
      <c r="D14">
        <f t="shared" si="2"/>
        <v>0.8571428571428571</v>
      </c>
    </row>
    <row r="15" spans="1:4" x14ac:dyDescent="0.25">
      <c r="A15">
        <v>100</v>
      </c>
      <c r="B15">
        <f t="shared" si="0"/>
        <v>0</v>
      </c>
      <c r="C15">
        <f t="shared" si="1"/>
        <v>0</v>
      </c>
      <c r="D15">
        <f t="shared" si="2"/>
        <v>0</v>
      </c>
    </row>
    <row r="17" spans="1:12" x14ac:dyDescent="0.25">
      <c r="B17">
        <v>0</v>
      </c>
      <c r="C17">
        <v>10</v>
      </c>
      <c r="D17">
        <v>20</v>
      </c>
      <c r="E17">
        <v>30</v>
      </c>
      <c r="F17">
        <v>40</v>
      </c>
      <c r="G17">
        <v>50</v>
      </c>
      <c r="H17">
        <v>60</v>
      </c>
      <c r="I17">
        <v>70</v>
      </c>
      <c r="J17">
        <v>80</v>
      </c>
      <c r="K17">
        <v>90</v>
      </c>
      <c r="L17">
        <v>100</v>
      </c>
    </row>
    <row r="18" spans="1:12" x14ac:dyDescent="0.25">
      <c r="A18" t="s">
        <v>7</v>
      </c>
      <c r="B18">
        <v>8.5714285714285712</v>
      </c>
      <c r="C18">
        <v>7.7142857142857144</v>
      </c>
      <c r="D18">
        <v>6.8571428571428568</v>
      </c>
      <c r="E18">
        <v>6</v>
      </c>
      <c r="F18">
        <v>5.1428571428571432</v>
      </c>
      <c r="G18">
        <v>4.2857142857142856</v>
      </c>
      <c r="H18">
        <v>3.4285714285714284</v>
      </c>
      <c r="I18">
        <v>2.5714285714285716</v>
      </c>
      <c r="J18">
        <v>1.7142857142857142</v>
      </c>
      <c r="K18">
        <v>0.8571428571428571</v>
      </c>
      <c r="L18">
        <v>0</v>
      </c>
    </row>
    <row r="19" spans="1:12" x14ac:dyDescent="0.25">
      <c r="A19">
        <v>4</v>
      </c>
      <c r="B19">
        <f>IF($A19&gt;B$18,"Now TIme", 1)</f>
        <v>1</v>
      </c>
      <c r="C19">
        <f t="shared" ref="C19:L19" si="3">IF($A19&gt;C$18,"Now TIme", 1)</f>
        <v>1</v>
      </c>
      <c r="D19">
        <f t="shared" si="3"/>
        <v>1</v>
      </c>
      <c r="E19">
        <f t="shared" si="3"/>
        <v>1</v>
      </c>
      <c r="F19">
        <f t="shared" si="3"/>
        <v>1</v>
      </c>
      <c r="G19">
        <f t="shared" si="3"/>
        <v>1</v>
      </c>
      <c r="H19" t="str">
        <f t="shared" si="3"/>
        <v>Now TIme</v>
      </c>
      <c r="I19" t="str">
        <f t="shared" si="3"/>
        <v>Now TIme</v>
      </c>
      <c r="J19" t="str">
        <f t="shared" si="3"/>
        <v>Now TIme</v>
      </c>
      <c r="K19" t="str">
        <f t="shared" si="3"/>
        <v>Now TIme</v>
      </c>
      <c r="L19" t="str">
        <f t="shared" si="3"/>
        <v>Now TIme</v>
      </c>
    </row>
    <row r="20" spans="1:12" x14ac:dyDescent="0.25">
      <c r="A20">
        <v>5</v>
      </c>
      <c r="B20">
        <f t="shared" ref="B20:L27" si="4">IF($A20&gt;B$18,"Now TIme", 1)</f>
        <v>1</v>
      </c>
      <c r="C20">
        <f t="shared" si="4"/>
        <v>1</v>
      </c>
      <c r="D20">
        <f t="shared" si="4"/>
        <v>1</v>
      </c>
      <c r="E20">
        <f t="shared" si="4"/>
        <v>1</v>
      </c>
      <c r="F20">
        <f t="shared" si="4"/>
        <v>1</v>
      </c>
      <c r="G20" t="str">
        <f t="shared" si="4"/>
        <v>Now TIme</v>
      </c>
      <c r="H20" t="str">
        <f t="shared" si="4"/>
        <v>Now TIme</v>
      </c>
      <c r="I20" t="str">
        <f t="shared" si="4"/>
        <v>Now TIme</v>
      </c>
      <c r="J20" t="str">
        <f t="shared" si="4"/>
        <v>Now TIme</v>
      </c>
      <c r="K20" t="str">
        <f t="shared" si="4"/>
        <v>Now TIme</v>
      </c>
      <c r="L20" t="str">
        <f t="shared" si="4"/>
        <v>Now TIme</v>
      </c>
    </row>
    <row r="21" spans="1:12" x14ac:dyDescent="0.25">
      <c r="A21">
        <v>6</v>
      </c>
      <c r="B21">
        <f t="shared" si="4"/>
        <v>1</v>
      </c>
      <c r="C21">
        <f t="shared" si="4"/>
        <v>1</v>
      </c>
      <c r="D21">
        <f t="shared" si="4"/>
        <v>1</v>
      </c>
      <c r="E21">
        <f t="shared" si="4"/>
        <v>1</v>
      </c>
      <c r="F21" t="str">
        <f t="shared" si="4"/>
        <v>Now TIme</v>
      </c>
      <c r="G21" t="str">
        <f t="shared" si="4"/>
        <v>Now TIme</v>
      </c>
      <c r="H21" t="str">
        <f t="shared" si="4"/>
        <v>Now TIme</v>
      </c>
      <c r="I21" t="str">
        <f t="shared" si="4"/>
        <v>Now TIme</v>
      </c>
      <c r="J21" t="str">
        <f t="shared" si="4"/>
        <v>Now TIme</v>
      </c>
      <c r="K21" t="str">
        <f t="shared" si="4"/>
        <v>Now TIme</v>
      </c>
      <c r="L21" t="str">
        <f t="shared" si="4"/>
        <v>Now TIme</v>
      </c>
    </row>
    <row r="22" spans="1:12" x14ac:dyDescent="0.25">
      <c r="A22">
        <v>7</v>
      </c>
      <c r="B22">
        <f t="shared" si="4"/>
        <v>1</v>
      </c>
      <c r="C22">
        <f t="shared" si="4"/>
        <v>1</v>
      </c>
      <c r="D22" t="str">
        <f t="shared" si="4"/>
        <v>Now TIme</v>
      </c>
      <c r="E22" t="str">
        <f t="shared" si="4"/>
        <v>Now TIme</v>
      </c>
      <c r="F22" t="str">
        <f t="shared" si="4"/>
        <v>Now TIme</v>
      </c>
      <c r="G22" t="str">
        <f t="shared" si="4"/>
        <v>Now TIme</v>
      </c>
      <c r="H22" t="str">
        <f t="shared" si="4"/>
        <v>Now TIme</v>
      </c>
      <c r="I22" t="str">
        <f t="shared" si="4"/>
        <v>Now TIme</v>
      </c>
      <c r="J22" t="str">
        <f t="shared" si="4"/>
        <v>Now TIme</v>
      </c>
      <c r="K22" t="str">
        <f t="shared" si="4"/>
        <v>Now TIme</v>
      </c>
      <c r="L22" t="str">
        <f t="shared" si="4"/>
        <v>Now TIme</v>
      </c>
    </row>
    <row r="23" spans="1:12" x14ac:dyDescent="0.25">
      <c r="A23">
        <v>8</v>
      </c>
      <c r="B23">
        <f t="shared" si="4"/>
        <v>1</v>
      </c>
      <c r="C23" t="str">
        <f t="shared" si="4"/>
        <v>Now TIme</v>
      </c>
      <c r="D23" t="str">
        <f t="shared" si="4"/>
        <v>Now TIme</v>
      </c>
      <c r="E23" t="str">
        <f t="shared" si="4"/>
        <v>Now TIme</v>
      </c>
      <c r="F23" t="str">
        <f t="shared" si="4"/>
        <v>Now TIme</v>
      </c>
      <c r="G23" t="str">
        <f t="shared" si="4"/>
        <v>Now TIme</v>
      </c>
      <c r="H23" t="str">
        <f t="shared" si="4"/>
        <v>Now TIme</v>
      </c>
      <c r="I23" t="str">
        <f t="shared" si="4"/>
        <v>Now TIme</v>
      </c>
      <c r="J23" t="str">
        <f t="shared" si="4"/>
        <v>Now TIme</v>
      </c>
      <c r="K23" t="str">
        <f t="shared" si="4"/>
        <v>Now TIme</v>
      </c>
      <c r="L23" t="str">
        <f t="shared" si="4"/>
        <v>Now TIme</v>
      </c>
    </row>
    <row r="24" spans="1:12" x14ac:dyDescent="0.25">
      <c r="A24">
        <v>9</v>
      </c>
      <c r="B24" t="str">
        <f t="shared" si="4"/>
        <v>Now TIme</v>
      </c>
      <c r="C24" t="str">
        <f t="shared" si="4"/>
        <v>Now TIme</v>
      </c>
      <c r="D24" t="str">
        <f t="shared" si="4"/>
        <v>Now TIme</v>
      </c>
      <c r="E24" t="str">
        <f t="shared" si="4"/>
        <v>Now TIme</v>
      </c>
      <c r="F24" t="str">
        <f t="shared" si="4"/>
        <v>Now TIme</v>
      </c>
      <c r="G24" t="str">
        <f t="shared" si="4"/>
        <v>Now TIme</v>
      </c>
      <c r="H24" t="str">
        <f t="shared" si="4"/>
        <v>Now TIme</v>
      </c>
      <c r="I24" t="str">
        <f t="shared" si="4"/>
        <v>Now TIme</v>
      </c>
      <c r="J24" t="str">
        <f t="shared" si="4"/>
        <v>Now TIme</v>
      </c>
      <c r="K24" t="str">
        <f t="shared" si="4"/>
        <v>Now TIme</v>
      </c>
      <c r="L24" t="str">
        <f t="shared" si="4"/>
        <v>Now TIme</v>
      </c>
    </row>
    <row r="25" spans="1:12" x14ac:dyDescent="0.25">
      <c r="A25">
        <v>10</v>
      </c>
      <c r="B25" t="str">
        <f t="shared" si="4"/>
        <v>Now TIme</v>
      </c>
      <c r="C25" t="str">
        <f t="shared" si="4"/>
        <v>Now TIme</v>
      </c>
      <c r="D25" t="str">
        <f t="shared" si="4"/>
        <v>Now TIme</v>
      </c>
      <c r="E25" t="str">
        <f t="shared" si="4"/>
        <v>Now TIme</v>
      </c>
      <c r="F25" t="str">
        <f t="shared" si="4"/>
        <v>Now TIme</v>
      </c>
      <c r="G25" t="str">
        <f t="shared" si="4"/>
        <v>Now TIme</v>
      </c>
      <c r="H25" t="str">
        <f t="shared" si="4"/>
        <v>Now TIme</v>
      </c>
      <c r="I25" t="str">
        <f t="shared" si="4"/>
        <v>Now TIme</v>
      </c>
      <c r="J25" t="str">
        <f t="shared" si="4"/>
        <v>Now TIme</v>
      </c>
      <c r="K25" t="str">
        <f t="shared" si="4"/>
        <v>Now TIme</v>
      </c>
      <c r="L25" t="str">
        <f t="shared" si="4"/>
        <v>Now TIme</v>
      </c>
    </row>
    <row r="26" spans="1:12" x14ac:dyDescent="0.25">
      <c r="A26">
        <v>11</v>
      </c>
      <c r="B26" t="str">
        <f t="shared" si="4"/>
        <v>Now TIme</v>
      </c>
      <c r="C26" t="str">
        <f t="shared" si="4"/>
        <v>Now TIme</v>
      </c>
      <c r="D26" t="str">
        <f t="shared" si="4"/>
        <v>Now TIme</v>
      </c>
      <c r="E26" t="str">
        <f t="shared" si="4"/>
        <v>Now TIme</v>
      </c>
      <c r="F26" t="str">
        <f t="shared" si="4"/>
        <v>Now TIme</v>
      </c>
      <c r="G26" t="str">
        <f t="shared" si="4"/>
        <v>Now TIme</v>
      </c>
      <c r="H26" t="str">
        <f t="shared" si="4"/>
        <v>Now TIme</v>
      </c>
      <c r="I26" t="str">
        <f t="shared" si="4"/>
        <v>Now TIme</v>
      </c>
      <c r="J26" t="str">
        <f t="shared" si="4"/>
        <v>Now TIme</v>
      </c>
      <c r="K26" t="str">
        <f t="shared" si="4"/>
        <v>Now TIme</v>
      </c>
      <c r="L26" t="str">
        <f t="shared" si="4"/>
        <v>Now TIme</v>
      </c>
    </row>
    <row r="27" spans="1:12" x14ac:dyDescent="0.25">
      <c r="A27">
        <v>12</v>
      </c>
      <c r="B27" t="str">
        <f t="shared" si="4"/>
        <v>Now TIme</v>
      </c>
      <c r="C27" t="str">
        <f t="shared" si="4"/>
        <v>Now TIme</v>
      </c>
      <c r="D27" t="str">
        <f t="shared" si="4"/>
        <v>Now TIme</v>
      </c>
      <c r="E27" t="str">
        <f t="shared" si="4"/>
        <v>Now TIme</v>
      </c>
      <c r="F27" t="str">
        <f t="shared" si="4"/>
        <v>Now TIme</v>
      </c>
      <c r="G27" t="str">
        <f t="shared" si="4"/>
        <v>Now TIme</v>
      </c>
      <c r="H27" t="str">
        <f t="shared" si="4"/>
        <v>Now TIme</v>
      </c>
      <c r="I27" t="str">
        <f t="shared" si="4"/>
        <v>Now TIme</v>
      </c>
      <c r="J27" t="str">
        <f t="shared" si="4"/>
        <v>Now TIme</v>
      </c>
      <c r="K27" t="str">
        <f t="shared" si="4"/>
        <v>Now TIme</v>
      </c>
      <c r="L27" t="str">
        <f t="shared" si="4"/>
        <v>Now TIme</v>
      </c>
    </row>
    <row r="32" spans="1:12" x14ac:dyDescent="0.25">
      <c r="B32" t="s">
        <v>8</v>
      </c>
    </row>
    <row r="33" spans="1:13" x14ac:dyDescent="0.25">
      <c r="A33">
        <v>12</v>
      </c>
      <c r="B33">
        <v>1</v>
      </c>
      <c r="C33">
        <v>2</v>
      </c>
      <c r="D33">
        <v>3</v>
      </c>
      <c r="E33">
        <v>4</v>
      </c>
      <c r="F33">
        <v>5</v>
      </c>
      <c r="G33">
        <v>6</v>
      </c>
      <c r="H33">
        <v>7</v>
      </c>
      <c r="I33">
        <v>8</v>
      </c>
      <c r="J33">
        <v>9</v>
      </c>
      <c r="K33">
        <v>10</v>
      </c>
      <c r="L33">
        <v>11</v>
      </c>
      <c r="M33">
        <v>12</v>
      </c>
    </row>
    <row r="34" spans="1:13" x14ac:dyDescent="0.25">
      <c r="B34">
        <f>B33/$A$33</f>
        <v>8.3333333333333329E-2</v>
      </c>
      <c r="C34">
        <f t="shared" ref="C34:M34" si="5">C33/$A$33</f>
        <v>0.16666666666666666</v>
      </c>
      <c r="D34">
        <f t="shared" si="5"/>
        <v>0.25</v>
      </c>
      <c r="E34">
        <f t="shared" si="5"/>
        <v>0.33333333333333331</v>
      </c>
      <c r="F34">
        <f t="shared" si="5"/>
        <v>0.41666666666666669</v>
      </c>
      <c r="G34">
        <f t="shared" si="5"/>
        <v>0.5</v>
      </c>
      <c r="H34">
        <f t="shared" si="5"/>
        <v>0.58333333333333337</v>
      </c>
      <c r="I34">
        <f t="shared" si="5"/>
        <v>0.66666666666666663</v>
      </c>
      <c r="J34">
        <f t="shared" si="5"/>
        <v>0.75</v>
      </c>
      <c r="K34">
        <f t="shared" si="5"/>
        <v>0.83333333333333337</v>
      </c>
      <c r="L34">
        <f t="shared" si="5"/>
        <v>0.91666666666666663</v>
      </c>
      <c r="M34">
        <f t="shared" si="5"/>
        <v>1</v>
      </c>
    </row>
    <row r="36" spans="1:13" x14ac:dyDescent="0.25">
      <c r="B36">
        <f>3*B34^2-2*B34^3</f>
        <v>1.9675925925925923E-2</v>
      </c>
      <c r="C36">
        <f t="shared" ref="C36:M36" si="6">3*C34^2-2*C34^3</f>
        <v>7.407407407407407E-2</v>
      </c>
      <c r="D36">
        <f t="shared" si="6"/>
        <v>0.15625</v>
      </c>
      <c r="E36">
        <f t="shared" si="6"/>
        <v>0.25925925925925924</v>
      </c>
      <c r="F36">
        <f t="shared" si="6"/>
        <v>0.37615740740740744</v>
      </c>
      <c r="G36">
        <f t="shared" si="6"/>
        <v>0.5</v>
      </c>
      <c r="H36">
        <f t="shared" si="6"/>
        <v>0.62384259259259256</v>
      </c>
      <c r="I36">
        <f t="shared" si="6"/>
        <v>0.7407407407407407</v>
      </c>
      <c r="J36">
        <f t="shared" si="6"/>
        <v>0.84375</v>
      </c>
      <c r="K36">
        <f t="shared" si="6"/>
        <v>0.92592592592592582</v>
      </c>
      <c r="L36">
        <f t="shared" si="6"/>
        <v>0.98032407407407396</v>
      </c>
      <c r="M36">
        <f t="shared" si="6"/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D6642-AD47-4CBE-9C89-F44E025DCAB3}">
  <dimension ref="A1:CE49"/>
  <sheetViews>
    <sheetView tabSelected="1" topLeftCell="A49" zoomScale="85" zoomScaleNormal="85" workbookViewId="0">
      <selection activeCell="E77" sqref="E77"/>
    </sheetView>
  </sheetViews>
  <sheetFormatPr defaultRowHeight="15" x14ac:dyDescent="0.25"/>
  <cols>
    <col min="2" max="2" width="15.42578125" customWidth="1"/>
    <col min="3" max="3" width="16.28515625" customWidth="1"/>
  </cols>
  <sheetData>
    <row r="1" spans="1:26" x14ac:dyDescent="0.25">
      <c r="A1" t="s">
        <v>9</v>
      </c>
      <c r="B1">
        <v>1</v>
      </c>
    </row>
    <row r="2" spans="1:26" x14ac:dyDescent="0.25">
      <c r="D2" s="1" t="s">
        <v>13</v>
      </c>
      <c r="E2" s="1"/>
      <c r="F2" s="1"/>
      <c r="G2" s="1"/>
      <c r="H2" s="1"/>
      <c r="I2" s="1"/>
      <c r="J2" s="1"/>
      <c r="K2" s="1"/>
      <c r="L2" s="1"/>
      <c r="M2" s="1"/>
    </row>
    <row r="3" spans="1:26" x14ac:dyDescent="0.25">
      <c r="A3" t="s">
        <v>2</v>
      </c>
      <c r="B3" t="s">
        <v>12</v>
      </c>
      <c r="C3" t="s">
        <v>10</v>
      </c>
      <c r="D3">
        <v>0.1</v>
      </c>
      <c r="E3">
        <v>0.2</v>
      </c>
      <c r="F3">
        <v>0.3</v>
      </c>
      <c r="G3">
        <v>0.4</v>
      </c>
      <c r="H3">
        <v>0.5</v>
      </c>
      <c r="I3">
        <v>0.6</v>
      </c>
      <c r="J3">
        <v>0.7</v>
      </c>
      <c r="K3">
        <v>0.8</v>
      </c>
      <c r="L3">
        <v>0.9</v>
      </c>
      <c r="M3">
        <v>1</v>
      </c>
      <c r="N3">
        <v>0.7</v>
      </c>
    </row>
    <row r="4" spans="1:26" x14ac:dyDescent="0.25">
      <c r="A4">
        <v>0</v>
      </c>
      <c r="B4">
        <f>B$1-A4</f>
        <v>1</v>
      </c>
      <c r="C4">
        <f>B4</f>
        <v>1</v>
      </c>
      <c r="D4">
        <f>$C4*D$3</f>
        <v>0.1</v>
      </c>
      <c r="E4">
        <f t="shared" ref="E4:M4" si="0">$C4*E$3</f>
        <v>0.2</v>
      </c>
      <c r="F4">
        <f t="shared" si="0"/>
        <v>0.3</v>
      </c>
      <c r="G4">
        <f t="shared" si="0"/>
        <v>0.4</v>
      </c>
      <c r="H4">
        <f t="shared" si="0"/>
        <v>0.5</v>
      </c>
      <c r="I4">
        <f t="shared" si="0"/>
        <v>0.6</v>
      </c>
      <c r="J4">
        <f t="shared" si="0"/>
        <v>0.7</v>
      </c>
      <c r="K4">
        <f t="shared" si="0"/>
        <v>0.8</v>
      </c>
      <c r="L4">
        <f t="shared" si="0"/>
        <v>0.9</v>
      </c>
      <c r="M4">
        <f t="shared" si="0"/>
        <v>1</v>
      </c>
      <c r="Y4" t="s">
        <v>46</v>
      </c>
      <c r="Z4" t="s">
        <v>47</v>
      </c>
    </row>
    <row r="5" spans="1:26" x14ac:dyDescent="0.25">
      <c r="A5">
        <v>0.05</v>
      </c>
      <c r="B5">
        <f t="shared" ref="B5:B24" si="1">B$1-A5</f>
        <v>0.95</v>
      </c>
      <c r="C5">
        <f t="shared" ref="C5:C24" si="2">B5</f>
        <v>0.95</v>
      </c>
      <c r="D5">
        <f t="shared" ref="D5:M24" si="3">$C5*D$3</f>
        <v>9.5000000000000001E-2</v>
      </c>
      <c r="E5">
        <f t="shared" si="3"/>
        <v>0.19</v>
      </c>
      <c r="F5">
        <f t="shared" si="3"/>
        <v>0.28499999999999998</v>
      </c>
      <c r="G5">
        <f t="shared" si="3"/>
        <v>0.38</v>
      </c>
      <c r="H5">
        <f t="shared" si="3"/>
        <v>0.47499999999999998</v>
      </c>
      <c r="I5">
        <f t="shared" si="3"/>
        <v>0.56999999999999995</v>
      </c>
      <c r="J5">
        <f t="shared" si="3"/>
        <v>0.66499999999999992</v>
      </c>
      <c r="K5">
        <f t="shared" si="3"/>
        <v>0.76</v>
      </c>
      <c r="L5">
        <f t="shared" si="3"/>
        <v>0.85499999999999998</v>
      </c>
      <c r="M5">
        <f t="shared" si="3"/>
        <v>0.95</v>
      </c>
      <c r="N5">
        <f t="shared" ref="N5:N24" si="4">B5*D$27</f>
        <v>4.0714285714285712</v>
      </c>
      <c r="Y5">
        <v>0</v>
      </c>
      <c r="Z5">
        <f>-0.5*Y5-0.5*C4</f>
        <v>-0.5</v>
      </c>
    </row>
    <row r="6" spans="1:26" x14ac:dyDescent="0.25">
      <c r="A6">
        <v>0.1</v>
      </c>
      <c r="B6">
        <f t="shared" si="1"/>
        <v>0.9</v>
      </c>
      <c r="C6">
        <f t="shared" si="2"/>
        <v>0.9</v>
      </c>
      <c r="D6">
        <f t="shared" si="3"/>
        <v>9.0000000000000011E-2</v>
      </c>
      <c r="E6">
        <f t="shared" si="3"/>
        <v>0.18000000000000002</v>
      </c>
      <c r="F6">
        <f t="shared" si="3"/>
        <v>0.27</v>
      </c>
      <c r="G6">
        <f t="shared" si="3"/>
        <v>0.36000000000000004</v>
      </c>
      <c r="H6">
        <f t="shared" si="3"/>
        <v>0.45</v>
      </c>
      <c r="I6">
        <f t="shared" si="3"/>
        <v>0.54</v>
      </c>
      <c r="J6">
        <f t="shared" si="3"/>
        <v>0.63</v>
      </c>
      <c r="K6">
        <f t="shared" si="3"/>
        <v>0.72000000000000008</v>
      </c>
      <c r="L6">
        <f t="shared" si="3"/>
        <v>0.81</v>
      </c>
      <c r="M6">
        <f t="shared" si="3"/>
        <v>0.9</v>
      </c>
      <c r="N6">
        <f t="shared" si="4"/>
        <v>3.8571428571428572</v>
      </c>
      <c r="Y6">
        <v>0.05</v>
      </c>
      <c r="Z6">
        <f t="shared" ref="Z6:Z25" si="5">-0.5*Y6-0.5*C5</f>
        <v>-0.5</v>
      </c>
    </row>
    <row r="7" spans="1:26" x14ac:dyDescent="0.25">
      <c r="A7">
        <v>0.15</v>
      </c>
      <c r="B7">
        <f t="shared" si="1"/>
        <v>0.85</v>
      </c>
      <c r="C7">
        <f t="shared" si="2"/>
        <v>0.85</v>
      </c>
      <c r="D7">
        <f t="shared" si="3"/>
        <v>8.5000000000000006E-2</v>
      </c>
      <c r="E7">
        <f t="shared" si="3"/>
        <v>0.17</v>
      </c>
      <c r="F7">
        <f t="shared" si="3"/>
        <v>0.255</v>
      </c>
      <c r="G7">
        <f t="shared" si="3"/>
        <v>0.34</v>
      </c>
      <c r="H7">
        <f t="shared" si="3"/>
        <v>0.42499999999999999</v>
      </c>
      <c r="I7">
        <f t="shared" si="3"/>
        <v>0.51</v>
      </c>
      <c r="J7">
        <f t="shared" si="3"/>
        <v>0.59499999999999997</v>
      </c>
      <c r="K7">
        <f t="shared" si="3"/>
        <v>0.68</v>
      </c>
      <c r="L7">
        <f t="shared" si="3"/>
        <v>0.76500000000000001</v>
      </c>
      <c r="M7">
        <f t="shared" si="3"/>
        <v>0.85</v>
      </c>
      <c r="N7">
        <f t="shared" si="4"/>
        <v>3.6428571428571428</v>
      </c>
      <c r="Y7">
        <v>0.1</v>
      </c>
      <c r="Z7">
        <f t="shared" si="5"/>
        <v>-0.5</v>
      </c>
    </row>
    <row r="8" spans="1:26" x14ac:dyDescent="0.25">
      <c r="A8">
        <v>0.2</v>
      </c>
      <c r="B8">
        <f t="shared" si="1"/>
        <v>0.8</v>
      </c>
      <c r="C8">
        <f t="shared" si="2"/>
        <v>0.8</v>
      </c>
      <c r="D8">
        <f t="shared" si="3"/>
        <v>8.0000000000000016E-2</v>
      </c>
      <c r="E8">
        <f t="shared" si="3"/>
        <v>0.16000000000000003</v>
      </c>
      <c r="F8">
        <f t="shared" si="3"/>
        <v>0.24</v>
      </c>
      <c r="G8">
        <f t="shared" si="3"/>
        <v>0.32000000000000006</v>
      </c>
      <c r="H8">
        <f t="shared" si="3"/>
        <v>0.4</v>
      </c>
      <c r="I8">
        <f t="shared" si="3"/>
        <v>0.48</v>
      </c>
      <c r="J8">
        <f t="shared" si="3"/>
        <v>0.55999999999999994</v>
      </c>
      <c r="K8">
        <f t="shared" si="3"/>
        <v>0.64000000000000012</v>
      </c>
      <c r="L8">
        <f t="shared" si="3"/>
        <v>0.72000000000000008</v>
      </c>
      <c r="M8">
        <f t="shared" si="3"/>
        <v>0.8</v>
      </c>
      <c r="N8">
        <f t="shared" si="4"/>
        <v>3.4285714285714288</v>
      </c>
      <c r="Y8">
        <v>0.15</v>
      </c>
      <c r="Z8">
        <f t="shared" si="5"/>
        <v>-0.5</v>
      </c>
    </row>
    <row r="9" spans="1:26" x14ac:dyDescent="0.25">
      <c r="A9">
        <v>0.25</v>
      </c>
      <c r="B9">
        <f t="shared" si="1"/>
        <v>0.75</v>
      </c>
      <c r="C9">
        <f t="shared" si="2"/>
        <v>0.75</v>
      </c>
      <c r="D9">
        <f t="shared" si="3"/>
        <v>7.5000000000000011E-2</v>
      </c>
      <c r="E9">
        <f t="shared" si="3"/>
        <v>0.15000000000000002</v>
      </c>
      <c r="F9">
        <f t="shared" si="3"/>
        <v>0.22499999999999998</v>
      </c>
      <c r="G9">
        <f t="shared" si="3"/>
        <v>0.30000000000000004</v>
      </c>
      <c r="H9">
        <f t="shared" si="3"/>
        <v>0.375</v>
      </c>
      <c r="I9">
        <f t="shared" si="3"/>
        <v>0.44999999999999996</v>
      </c>
      <c r="J9">
        <f t="shared" si="3"/>
        <v>0.52499999999999991</v>
      </c>
      <c r="K9">
        <f t="shared" si="3"/>
        <v>0.60000000000000009</v>
      </c>
      <c r="L9">
        <f t="shared" si="3"/>
        <v>0.67500000000000004</v>
      </c>
      <c r="M9">
        <f t="shared" si="3"/>
        <v>0.75</v>
      </c>
      <c r="N9">
        <f t="shared" si="4"/>
        <v>3.2142857142857144</v>
      </c>
      <c r="Y9">
        <v>0.2</v>
      </c>
      <c r="Z9">
        <f t="shared" si="5"/>
        <v>-0.5</v>
      </c>
    </row>
    <row r="10" spans="1:26" x14ac:dyDescent="0.25">
      <c r="A10">
        <v>0.3</v>
      </c>
      <c r="B10">
        <f t="shared" si="1"/>
        <v>0.7</v>
      </c>
      <c r="C10">
        <f t="shared" si="2"/>
        <v>0.7</v>
      </c>
      <c r="D10">
        <f t="shared" si="3"/>
        <v>6.9999999999999993E-2</v>
      </c>
      <c r="E10">
        <f t="shared" si="3"/>
        <v>0.13999999999999999</v>
      </c>
      <c r="F10">
        <f t="shared" si="3"/>
        <v>0.21</v>
      </c>
      <c r="G10">
        <f t="shared" si="3"/>
        <v>0.27999999999999997</v>
      </c>
      <c r="H10">
        <f t="shared" si="3"/>
        <v>0.35</v>
      </c>
      <c r="I10">
        <f t="shared" si="3"/>
        <v>0.42</v>
      </c>
      <c r="J10">
        <f t="shared" si="3"/>
        <v>0.48999999999999994</v>
      </c>
      <c r="K10">
        <f t="shared" si="3"/>
        <v>0.55999999999999994</v>
      </c>
      <c r="L10">
        <f t="shared" si="3"/>
        <v>0.63</v>
      </c>
      <c r="M10">
        <f t="shared" si="3"/>
        <v>0.7</v>
      </c>
      <c r="N10">
        <f t="shared" si="4"/>
        <v>2.9999999999999996</v>
      </c>
      <c r="Y10">
        <v>0.25</v>
      </c>
      <c r="Z10">
        <f t="shared" si="5"/>
        <v>-0.5</v>
      </c>
    </row>
    <row r="11" spans="1:26" x14ac:dyDescent="0.25">
      <c r="A11">
        <v>0.35</v>
      </c>
      <c r="B11">
        <f t="shared" si="1"/>
        <v>0.65</v>
      </c>
      <c r="C11">
        <f t="shared" si="2"/>
        <v>0.65</v>
      </c>
      <c r="D11">
        <f t="shared" si="3"/>
        <v>6.5000000000000002E-2</v>
      </c>
      <c r="E11">
        <f t="shared" si="3"/>
        <v>0.13</v>
      </c>
      <c r="F11">
        <f t="shared" si="3"/>
        <v>0.19500000000000001</v>
      </c>
      <c r="G11">
        <f t="shared" si="3"/>
        <v>0.26</v>
      </c>
      <c r="H11">
        <f t="shared" si="3"/>
        <v>0.32500000000000001</v>
      </c>
      <c r="I11">
        <f t="shared" si="3"/>
        <v>0.39</v>
      </c>
      <c r="J11">
        <f t="shared" si="3"/>
        <v>0.45499999999999996</v>
      </c>
      <c r="K11">
        <f t="shared" si="3"/>
        <v>0.52</v>
      </c>
      <c r="L11">
        <f t="shared" si="3"/>
        <v>0.58500000000000008</v>
      </c>
      <c r="M11">
        <f t="shared" si="3"/>
        <v>0.65</v>
      </c>
      <c r="N11">
        <f t="shared" si="4"/>
        <v>2.7857142857142856</v>
      </c>
      <c r="Y11">
        <v>0.3</v>
      </c>
      <c r="Z11">
        <f t="shared" si="5"/>
        <v>-0.5</v>
      </c>
    </row>
    <row r="12" spans="1:26" x14ac:dyDescent="0.25">
      <c r="A12">
        <v>0.4</v>
      </c>
      <c r="B12">
        <f t="shared" si="1"/>
        <v>0.6</v>
      </c>
      <c r="C12">
        <f t="shared" si="2"/>
        <v>0.6</v>
      </c>
      <c r="D12">
        <f t="shared" si="3"/>
        <v>0.06</v>
      </c>
      <c r="E12">
        <f t="shared" si="3"/>
        <v>0.12</v>
      </c>
      <c r="F12">
        <f t="shared" si="3"/>
        <v>0.18</v>
      </c>
      <c r="G12">
        <f t="shared" si="3"/>
        <v>0.24</v>
      </c>
      <c r="H12">
        <f t="shared" si="3"/>
        <v>0.3</v>
      </c>
      <c r="I12">
        <f t="shared" si="3"/>
        <v>0.36</v>
      </c>
      <c r="J12">
        <f t="shared" si="3"/>
        <v>0.42</v>
      </c>
      <c r="K12">
        <f t="shared" si="3"/>
        <v>0.48</v>
      </c>
      <c r="L12">
        <f t="shared" si="3"/>
        <v>0.54</v>
      </c>
      <c r="M12">
        <f t="shared" si="3"/>
        <v>0.6</v>
      </c>
      <c r="N12">
        <f t="shared" si="4"/>
        <v>2.5714285714285712</v>
      </c>
      <c r="Y12">
        <v>0.35</v>
      </c>
      <c r="Z12">
        <f t="shared" si="5"/>
        <v>-0.5</v>
      </c>
    </row>
    <row r="13" spans="1:26" x14ac:dyDescent="0.25">
      <c r="A13">
        <v>0.45</v>
      </c>
      <c r="B13">
        <f t="shared" si="1"/>
        <v>0.55000000000000004</v>
      </c>
      <c r="C13">
        <f t="shared" si="2"/>
        <v>0.55000000000000004</v>
      </c>
      <c r="D13">
        <f t="shared" si="3"/>
        <v>5.5000000000000007E-2</v>
      </c>
      <c r="E13">
        <f t="shared" si="3"/>
        <v>0.11000000000000001</v>
      </c>
      <c r="F13">
        <f t="shared" si="3"/>
        <v>0.16500000000000001</v>
      </c>
      <c r="G13">
        <f t="shared" si="3"/>
        <v>0.22000000000000003</v>
      </c>
      <c r="H13">
        <f t="shared" si="3"/>
        <v>0.27500000000000002</v>
      </c>
      <c r="I13">
        <f t="shared" si="3"/>
        <v>0.33</v>
      </c>
      <c r="J13">
        <f t="shared" si="3"/>
        <v>0.38500000000000001</v>
      </c>
      <c r="K13">
        <f t="shared" si="3"/>
        <v>0.44000000000000006</v>
      </c>
      <c r="L13">
        <f t="shared" si="3"/>
        <v>0.49500000000000005</v>
      </c>
      <c r="M13">
        <f t="shared" si="3"/>
        <v>0.55000000000000004</v>
      </c>
      <c r="N13">
        <f t="shared" si="4"/>
        <v>2.3571428571428572</v>
      </c>
      <c r="Y13">
        <v>0.4</v>
      </c>
      <c r="Z13">
        <f t="shared" si="5"/>
        <v>-0.5</v>
      </c>
    </row>
    <row r="14" spans="1:26" x14ac:dyDescent="0.25">
      <c r="A14">
        <v>0.5</v>
      </c>
      <c r="B14">
        <f t="shared" si="1"/>
        <v>0.5</v>
      </c>
      <c r="C14">
        <f t="shared" si="2"/>
        <v>0.5</v>
      </c>
      <c r="D14">
        <f t="shared" si="3"/>
        <v>0.05</v>
      </c>
      <c r="E14">
        <f t="shared" si="3"/>
        <v>0.1</v>
      </c>
      <c r="F14">
        <f t="shared" si="3"/>
        <v>0.15</v>
      </c>
      <c r="G14">
        <f t="shared" si="3"/>
        <v>0.2</v>
      </c>
      <c r="H14">
        <f t="shared" si="3"/>
        <v>0.25</v>
      </c>
      <c r="I14">
        <f t="shared" si="3"/>
        <v>0.3</v>
      </c>
      <c r="J14">
        <f t="shared" si="3"/>
        <v>0.35</v>
      </c>
      <c r="K14">
        <f t="shared" si="3"/>
        <v>0.4</v>
      </c>
      <c r="L14">
        <f t="shared" si="3"/>
        <v>0.45</v>
      </c>
      <c r="M14">
        <f t="shared" si="3"/>
        <v>0.5</v>
      </c>
      <c r="N14">
        <f t="shared" si="4"/>
        <v>2.1428571428571428</v>
      </c>
      <c r="Y14">
        <v>0.45</v>
      </c>
      <c r="Z14">
        <f t="shared" si="5"/>
        <v>-0.5</v>
      </c>
    </row>
    <row r="15" spans="1:26" x14ac:dyDescent="0.25">
      <c r="A15">
        <v>0.55000000000000004</v>
      </c>
      <c r="B15">
        <f t="shared" si="1"/>
        <v>0.44999999999999996</v>
      </c>
      <c r="C15">
        <f t="shared" si="2"/>
        <v>0.44999999999999996</v>
      </c>
      <c r="D15">
        <f t="shared" si="3"/>
        <v>4.4999999999999998E-2</v>
      </c>
      <c r="E15">
        <f t="shared" si="3"/>
        <v>0.09</v>
      </c>
      <c r="F15">
        <f t="shared" si="3"/>
        <v>0.13499999999999998</v>
      </c>
      <c r="G15">
        <f t="shared" si="3"/>
        <v>0.18</v>
      </c>
      <c r="H15">
        <f t="shared" si="3"/>
        <v>0.22499999999999998</v>
      </c>
      <c r="I15">
        <f t="shared" si="3"/>
        <v>0.26999999999999996</v>
      </c>
      <c r="J15">
        <f t="shared" si="3"/>
        <v>0.31499999999999995</v>
      </c>
      <c r="K15">
        <f t="shared" si="3"/>
        <v>0.36</v>
      </c>
      <c r="L15">
        <f t="shared" si="3"/>
        <v>0.40499999999999997</v>
      </c>
      <c r="M15">
        <f t="shared" si="3"/>
        <v>0.44999999999999996</v>
      </c>
      <c r="N15">
        <f t="shared" si="4"/>
        <v>1.9285714285714284</v>
      </c>
      <c r="Y15">
        <v>0.5</v>
      </c>
      <c r="Z15">
        <f t="shared" si="5"/>
        <v>-0.5</v>
      </c>
    </row>
    <row r="16" spans="1:26" x14ac:dyDescent="0.25">
      <c r="A16">
        <v>0.6</v>
      </c>
      <c r="B16">
        <f t="shared" si="1"/>
        <v>0.4</v>
      </c>
      <c r="C16">
        <f t="shared" si="2"/>
        <v>0.4</v>
      </c>
      <c r="D16">
        <f t="shared" si="3"/>
        <v>4.0000000000000008E-2</v>
      </c>
      <c r="E16">
        <f t="shared" si="3"/>
        <v>8.0000000000000016E-2</v>
      </c>
      <c r="F16">
        <f t="shared" si="3"/>
        <v>0.12</v>
      </c>
      <c r="G16">
        <f t="shared" si="3"/>
        <v>0.16000000000000003</v>
      </c>
      <c r="H16">
        <f t="shared" si="3"/>
        <v>0.2</v>
      </c>
      <c r="I16">
        <f t="shared" si="3"/>
        <v>0.24</v>
      </c>
      <c r="J16">
        <f t="shared" si="3"/>
        <v>0.27999999999999997</v>
      </c>
      <c r="K16">
        <f t="shared" si="3"/>
        <v>0.32000000000000006</v>
      </c>
      <c r="L16">
        <f t="shared" si="3"/>
        <v>0.36000000000000004</v>
      </c>
      <c r="M16">
        <f t="shared" si="3"/>
        <v>0.4</v>
      </c>
      <c r="N16">
        <f t="shared" si="4"/>
        <v>1.7142857142857144</v>
      </c>
      <c r="Y16">
        <v>0.55000000000000004</v>
      </c>
      <c r="Z16">
        <f t="shared" si="5"/>
        <v>-0.5</v>
      </c>
    </row>
    <row r="17" spans="1:83" x14ac:dyDescent="0.25">
      <c r="A17">
        <v>0.65</v>
      </c>
      <c r="B17">
        <f t="shared" si="1"/>
        <v>0.35</v>
      </c>
      <c r="C17">
        <f t="shared" si="2"/>
        <v>0.35</v>
      </c>
      <c r="D17">
        <f t="shared" si="3"/>
        <v>3.4999999999999996E-2</v>
      </c>
      <c r="E17">
        <f t="shared" si="3"/>
        <v>6.9999999999999993E-2</v>
      </c>
      <c r="F17">
        <f t="shared" si="3"/>
        <v>0.105</v>
      </c>
      <c r="G17">
        <f t="shared" si="3"/>
        <v>0.13999999999999999</v>
      </c>
      <c r="H17">
        <f t="shared" si="3"/>
        <v>0.17499999999999999</v>
      </c>
      <c r="I17">
        <f t="shared" si="3"/>
        <v>0.21</v>
      </c>
      <c r="J17">
        <f t="shared" si="3"/>
        <v>0.24499999999999997</v>
      </c>
      <c r="K17">
        <f t="shared" si="3"/>
        <v>0.27999999999999997</v>
      </c>
      <c r="L17">
        <f t="shared" si="3"/>
        <v>0.315</v>
      </c>
      <c r="M17">
        <f t="shared" si="3"/>
        <v>0.35</v>
      </c>
      <c r="N17">
        <f t="shared" si="4"/>
        <v>1.4999999999999998</v>
      </c>
      <c r="Y17">
        <v>0.6</v>
      </c>
      <c r="Z17">
        <f t="shared" si="5"/>
        <v>-0.5</v>
      </c>
    </row>
    <row r="18" spans="1:83" x14ac:dyDescent="0.25">
      <c r="A18">
        <v>0.7</v>
      </c>
      <c r="B18">
        <f t="shared" si="1"/>
        <v>0.30000000000000004</v>
      </c>
      <c r="C18">
        <f t="shared" si="2"/>
        <v>0.30000000000000004</v>
      </c>
      <c r="D18">
        <f t="shared" si="3"/>
        <v>3.0000000000000006E-2</v>
      </c>
      <c r="E18">
        <f t="shared" si="3"/>
        <v>6.0000000000000012E-2</v>
      </c>
      <c r="F18">
        <f t="shared" si="3"/>
        <v>9.0000000000000011E-2</v>
      </c>
      <c r="G18">
        <f t="shared" si="3"/>
        <v>0.12000000000000002</v>
      </c>
      <c r="H18">
        <f t="shared" si="3"/>
        <v>0.15000000000000002</v>
      </c>
      <c r="I18">
        <f t="shared" si="3"/>
        <v>0.18000000000000002</v>
      </c>
      <c r="J18">
        <f t="shared" si="3"/>
        <v>0.21000000000000002</v>
      </c>
      <c r="K18">
        <f t="shared" si="3"/>
        <v>0.24000000000000005</v>
      </c>
      <c r="L18">
        <f t="shared" si="3"/>
        <v>0.27000000000000007</v>
      </c>
      <c r="M18">
        <f t="shared" si="3"/>
        <v>0.30000000000000004</v>
      </c>
      <c r="N18">
        <f t="shared" si="4"/>
        <v>1.2857142857142858</v>
      </c>
      <c r="Y18">
        <v>0.65</v>
      </c>
      <c r="Z18">
        <f t="shared" si="5"/>
        <v>-0.5</v>
      </c>
    </row>
    <row r="19" spans="1:83" x14ac:dyDescent="0.25">
      <c r="A19">
        <v>0.75</v>
      </c>
      <c r="B19">
        <f t="shared" si="1"/>
        <v>0.25</v>
      </c>
      <c r="C19">
        <f t="shared" si="2"/>
        <v>0.25</v>
      </c>
      <c r="D19">
        <f t="shared" si="3"/>
        <v>2.5000000000000001E-2</v>
      </c>
      <c r="E19">
        <f t="shared" si="3"/>
        <v>0.05</v>
      </c>
      <c r="F19">
        <f t="shared" si="3"/>
        <v>7.4999999999999997E-2</v>
      </c>
      <c r="G19">
        <f t="shared" si="3"/>
        <v>0.1</v>
      </c>
      <c r="H19">
        <f t="shared" si="3"/>
        <v>0.125</v>
      </c>
      <c r="I19">
        <f t="shared" si="3"/>
        <v>0.15</v>
      </c>
      <c r="J19">
        <f t="shared" si="3"/>
        <v>0.17499999999999999</v>
      </c>
      <c r="K19">
        <f t="shared" si="3"/>
        <v>0.2</v>
      </c>
      <c r="L19">
        <f t="shared" si="3"/>
        <v>0.22500000000000001</v>
      </c>
      <c r="M19">
        <f t="shared" si="3"/>
        <v>0.25</v>
      </c>
      <c r="N19">
        <f t="shared" si="4"/>
        <v>1.0714285714285714</v>
      </c>
      <c r="Y19">
        <v>0.7</v>
      </c>
      <c r="Z19">
        <f t="shared" si="5"/>
        <v>-0.5</v>
      </c>
    </row>
    <row r="20" spans="1:83" x14ac:dyDescent="0.25">
      <c r="A20">
        <v>0.8</v>
      </c>
      <c r="B20">
        <f t="shared" si="1"/>
        <v>0.19999999999999996</v>
      </c>
      <c r="C20">
        <f t="shared" si="2"/>
        <v>0.19999999999999996</v>
      </c>
      <c r="D20">
        <f t="shared" si="3"/>
        <v>1.9999999999999997E-2</v>
      </c>
      <c r="E20">
        <f t="shared" si="3"/>
        <v>3.9999999999999994E-2</v>
      </c>
      <c r="F20">
        <f t="shared" si="3"/>
        <v>5.9999999999999984E-2</v>
      </c>
      <c r="G20">
        <f t="shared" si="3"/>
        <v>7.9999999999999988E-2</v>
      </c>
      <c r="H20">
        <f t="shared" si="3"/>
        <v>9.9999999999999978E-2</v>
      </c>
      <c r="I20">
        <f t="shared" si="3"/>
        <v>0.11999999999999997</v>
      </c>
      <c r="J20">
        <f t="shared" si="3"/>
        <v>0.13999999999999996</v>
      </c>
      <c r="K20">
        <f t="shared" si="3"/>
        <v>0.15999999999999998</v>
      </c>
      <c r="L20">
        <f t="shared" si="3"/>
        <v>0.17999999999999997</v>
      </c>
      <c r="M20">
        <f t="shared" si="3"/>
        <v>0.19999999999999996</v>
      </c>
      <c r="N20">
        <f t="shared" si="4"/>
        <v>0.85714285714285687</v>
      </c>
      <c r="Y20">
        <v>0.75</v>
      </c>
      <c r="Z20">
        <f t="shared" si="5"/>
        <v>-0.5</v>
      </c>
    </row>
    <row r="21" spans="1:83" x14ac:dyDescent="0.25">
      <c r="A21">
        <v>0.85</v>
      </c>
      <c r="B21">
        <f t="shared" si="1"/>
        <v>0.15000000000000002</v>
      </c>
      <c r="C21">
        <f t="shared" si="2"/>
        <v>0.15000000000000002</v>
      </c>
      <c r="D21">
        <f t="shared" si="3"/>
        <v>1.5000000000000003E-2</v>
      </c>
      <c r="E21">
        <f t="shared" si="3"/>
        <v>3.0000000000000006E-2</v>
      </c>
      <c r="F21">
        <f t="shared" si="3"/>
        <v>4.5000000000000005E-2</v>
      </c>
      <c r="G21">
        <f t="shared" si="3"/>
        <v>6.0000000000000012E-2</v>
      </c>
      <c r="H21">
        <f t="shared" si="3"/>
        <v>7.5000000000000011E-2</v>
      </c>
      <c r="I21">
        <f t="shared" si="3"/>
        <v>9.0000000000000011E-2</v>
      </c>
      <c r="J21">
        <f t="shared" si="3"/>
        <v>0.10500000000000001</v>
      </c>
      <c r="K21">
        <f t="shared" si="3"/>
        <v>0.12000000000000002</v>
      </c>
      <c r="L21">
        <f t="shared" si="3"/>
        <v>0.13500000000000004</v>
      </c>
      <c r="M21">
        <f t="shared" si="3"/>
        <v>0.15000000000000002</v>
      </c>
      <c r="N21">
        <f t="shared" si="4"/>
        <v>0.6428571428571429</v>
      </c>
      <c r="Y21">
        <v>0.8</v>
      </c>
      <c r="Z21">
        <f t="shared" si="5"/>
        <v>-0.5</v>
      </c>
    </row>
    <row r="22" spans="1:83" x14ac:dyDescent="0.25">
      <c r="A22">
        <v>0.9</v>
      </c>
      <c r="B22">
        <f t="shared" si="1"/>
        <v>9.9999999999999978E-2</v>
      </c>
      <c r="C22">
        <f t="shared" si="2"/>
        <v>9.9999999999999978E-2</v>
      </c>
      <c r="D22">
        <f t="shared" si="3"/>
        <v>9.9999999999999985E-3</v>
      </c>
      <c r="E22">
        <f t="shared" si="3"/>
        <v>1.9999999999999997E-2</v>
      </c>
      <c r="F22">
        <f t="shared" si="3"/>
        <v>2.9999999999999992E-2</v>
      </c>
      <c r="G22">
        <f t="shared" si="3"/>
        <v>3.9999999999999994E-2</v>
      </c>
      <c r="H22">
        <f t="shared" si="3"/>
        <v>4.9999999999999989E-2</v>
      </c>
      <c r="I22">
        <f t="shared" si="3"/>
        <v>5.9999999999999984E-2</v>
      </c>
      <c r="J22">
        <f t="shared" si="3"/>
        <v>6.9999999999999979E-2</v>
      </c>
      <c r="K22">
        <f t="shared" si="3"/>
        <v>7.9999999999999988E-2</v>
      </c>
      <c r="L22">
        <f t="shared" si="3"/>
        <v>8.9999999999999983E-2</v>
      </c>
      <c r="M22">
        <f t="shared" si="3"/>
        <v>9.9999999999999978E-2</v>
      </c>
      <c r="N22">
        <f t="shared" si="4"/>
        <v>0.42857142857142844</v>
      </c>
      <c r="Y22">
        <v>0.85</v>
      </c>
      <c r="Z22">
        <f t="shared" si="5"/>
        <v>-0.5</v>
      </c>
    </row>
    <row r="23" spans="1:83" x14ac:dyDescent="0.25">
      <c r="A23">
        <v>0.95</v>
      </c>
      <c r="B23">
        <f t="shared" si="1"/>
        <v>5.0000000000000044E-2</v>
      </c>
      <c r="C23">
        <f t="shared" si="2"/>
        <v>5.0000000000000044E-2</v>
      </c>
      <c r="D23">
        <f t="shared" si="3"/>
        <v>5.0000000000000044E-3</v>
      </c>
      <c r="E23">
        <f t="shared" si="3"/>
        <v>1.0000000000000009E-2</v>
      </c>
      <c r="F23">
        <f t="shared" si="3"/>
        <v>1.5000000000000013E-2</v>
      </c>
      <c r="G23">
        <f t="shared" si="3"/>
        <v>2.0000000000000018E-2</v>
      </c>
      <c r="H23">
        <f t="shared" si="3"/>
        <v>2.5000000000000022E-2</v>
      </c>
      <c r="I23">
        <f t="shared" si="3"/>
        <v>3.0000000000000027E-2</v>
      </c>
      <c r="J23">
        <f t="shared" si="3"/>
        <v>3.5000000000000031E-2</v>
      </c>
      <c r="K23">
        <f t="shared" si="3"/>
        <v>4.0000000000000036E-2</v>
      </c>
      <c r="L23">
        <f t="shared" si="3"/>
        <v>4.500000000000004E-2</v>
      </c>
      <c r="M23">
        <f t="shared" si="3"/>
        <v>5.0000000000000044E-2</v>
      </c>
      <c r="N23">
        <f t="shared" si="4"/>
        <v>0.21428571428571447</v>
      </c>
      <c r="Y23">
        <v>0.9</v>
      </c>
      <c r="Z23">
        <f t="shared" si="5"/>
        <v>-0.5</v>
      </c>
    </row>
    <row r="24" spans="1:83" x14ac:dyDescent="0.25">
      <c r="A24">
        <v>1</v>
      </c>
      <c r="B24">
        <f t="shared" si="1"/>
        <v>0</v>
      </c>
      <c r="C24">
        <f t="shared" si="2"/>
        <v>0</v>
      </c>
      <c r="D24">
        <f t="shared" si="3"/>
        <v>0</v>
      </c>
      <c r="E24">
        <f t="shared" si="3"/>
        <v>0</v>
      </c>
      <c r="F24">
        <f t="shared" si="3"/>
        <v>0</v>
      </c>
      <c r="G24">
        <f t="shared" si="3"/>
        <v>0</v>
      </c>
      <c r="H24">
        <f t="shared" si="3"/>
        <v>0</v>
      </c>
      <c r="I24">
        <f t="shared" si="3"/>
        <v>0</v>
      </c>
      <c r="J24">
        <f t="shared" si="3"/>
        <v>0</v>
      </c>
      <c r="K24">
        <f t="shared" si="3"/>
        <v>0</v>
      </c>
      <c r="L24">
        <f t="shared" si="3"/>
        <v>0</v>
      </c>
      <c r="M24">
        <f t="shared" si="3"/>
        <v>0</v>
      </c>
      <c r="N24">
        <f t="shared" si="4"/>
        <v>0</v>
      </c>
      <c r="Y24">
        <v>0.95</v>
      </c>
      <c r="Z24">
        <f t="shared" si="5"/>
        <v>-0.5</v>
      </c>
    </row>
    <row r="25" spans="1:83" x14ac:dyDescent="0.25">
      <c r="Y25">
        <v>1</v>
      </c>
      <c r="Z25">
        <f t="shared" si="5"/>
        <v>-0.5</v>
      </c>
    </row>
    <row r="26" spans="1:83" x14ac:dyDescent="0.25">
      <c r="A26" t="s">
        <v>28</v>
      </c>
      <c r="B26">
        <v>60</v>
      </c>
      <c r="C26" t="s">
        <v>14</v>
      </c>
      <c r="F26">
        <v>16</v>
      </c>
      <c r="G26">
        <v>15</v>
      </c>
      <c r="H26">
        <v>14</v>
      </c>
      <c r="I26">
        <v>13</v>
      </c>
      <c r="J26">
        <v>12</v>
      </c>
      <c r="K26">
        <v>11</v>
      </c>
      <c r="L26">
        <v>10</v>
      </c>
      <c r="M26">
        <v>9</v>
      </c>
      <c r="N26">
        <v>8</v>
      </c>
      <c r="O26">
        <v>7</v>
      </c>
      <c r="P26">
        <v>6</v>
      </c>
      <c r="Q26">
        <v>5</v>
      </c>
      <c r="R26">
        <v>4</v>
      </c>
      <c r="S26">
        <v>3</v>
      </c>
      <c r="T26">
        <v>2</v>
      </c>
      <c r="U26">
        <v>1</v>
      </c>
      <c r="V26">
        <v>0</v>
      </c>
    </row>
    <row r="27" spans="1:83" x14ac:dyDescent="0.25">
      <c r="A27" t="s">
        <v>29</v>
      </c>
      <c r="B27">
        <v>14</v>
      </c>
      <c r="C27" t="s">
        <v>11</v>
      </c>
      <c r="D27">
        <f>B26/B27</f>
        <v>4.2857142857142856</v>
      </c>
    </row>
    <row r="28" spans="1:83" x14ac:dyDescent="0.25">
      <c r="A28" t="s">
        <v>2</v>
      </c>
      <c r="B28" t="s">
        <v>12</v>
      </c>
      <c r="C28" t="s">
        <v>10</v>
      </c>
      <c r="D28" t="s">
        <v>15</v>
      </c>
      <c r="E28" t="s">
        <v>41</v>
      </c>
      <c r="F28" t="s">
        <v>16</v>
      </c>
      <c r="G28" t="s">
        <v>17</v>
      </c>
      <c r="H28" t="s">
        <v>18</v>
      </c>
      <c r="I28" t="s">
        <v>19</v>
      </c>
      <c r="J28" t="s">
        <v>20</v>
      </c>
      <c r="K28" t="s">
        <v>21</v>
      </c>
      <c r="L28" t="s">
        <v>22</v>
      </c>
      <c r="M28" t="s">
        <v>23</v>
      </c>
      <c r="N28" t="s">
        <v>24</v>
      </c>
      <c r="O28" t="s">
        <v>25</v>
      </c>
      <c r="P28" t="s">
        <v>26</v>
      </c>
      <c r="Q28" t="s">
        <v>27</v>
      </c>
      <c r="R28" t="s">
        <v>42</v>
      </c>
      <c r="S28" t="s">
        <v>43</v>
      </c>
      <c r="T28" t="s">
        <v>44</v>
      </c>
      <c r="U28" t="s">
        <v>45</v>
      </c>
      <c r="V28" t="s">
        <v>48</v>
      </c>
      <c r="Y28" t="s">
        <v>41</v>
      </c>
      <c r="Z28" t="s">
        <v>10</v>
      </c>
      <c r="AA28" t="s">
        <v>16</v>
      </c>
      <c r="AB28" t="s">
        <v>17</v>
      </c>
      <c r="AC28" t="s">
        <v>18</v>
      </c>
      <c r="AD28" t="s">
        <v>19</v>
      </c>
      <c r="AE28" t="s">
        <v>20</v>
      </c>
      <c r="AF28" t="s">
        <v>21</v>
      </c>
      <c r="AG28" t="s">
        <v>22</v>
      </c>
      <c r="AH28" t="s">
        <v>23</v>
      </c>
      <c r="AI28" t="s">
        <v>24</v>
      </c>
      <c r="AJ28" t="s">
        <v>25</v>
      </c>
      <c r="AK28" t="s">
        <v>26</v>
      </c>
      <c r="AL28" t="s">
        <v>27</v>
      </c>
      <c r="AM28" t="s">
        <v>42</v>
      </c>
      <c r="AN28" t="s">
        <v>43</v>
      </c>
      <c r="AO28" t="s">
        <v>44</v>
      </c>
      <c r="AP28" t="s">
        <v>45</v>
      </c>
      <c r="AQ28" t="s">
        <v>48</v>
      </c>
      <c r="AR28" t="s">
        <v>15</v>
      </c>
      <c r="AT28" t="s">
        <v>49</v>
      </c>
      <c r="AU28" t="s">
        <v>16</v>
      </c>
      <c r="AV28" t="s">
        <v>17</v>
      </c>
      <c r="AW28" t="s">
        <v>18</v>
      </c>
      <c r="AX28" t="s">
        <v>19</v>
      </c>
      <c r="AY28" t="s">
        <v>20</v>
      </c>
      <c r="AZ28" t="s">
        <v>21</v>
      </c>
      <c r="BA28" t="s">
        <v>22</v>
      </c>
      <c r="BB28" t="s">
        <v>23</v>
      </c>
      <c r="BC28" t="s">
        <v>24</v>
      </c>
      <c r="BD28" t="s">
        <v>25</v>
      </c>
      <c r="BE28" t="s">
        <v>26</v>
      </c>
      <c r="BF28" t="s">
        <v>27</v>
      </c>
      <c r="BG28" t="s">
        <v>42</v>
      </c>
      <c r="BH28" t="s">
        <v>43</v>
      </c>
      <c r="BI28" t="s">
        <v>44</v>
      </c>
      <c r="BJ28" t="s">
        <v>45</v>
      </c>
      <c r="BK28" t="s">
        <v>48</v>
      </c>
      <c r="BM28" t="s">
        <v>41</v>
      </c>
      <c r="BN28" t="s">
        <v>49</v>
      </c>
      <c r="BO28" t="s">
        <v>16</v>
      </c>
      <c r="BP28" t="s">
        <v>17</v>
      </c>
      <c r="BQ28" t="s">
        <v>18</v>
      </c>
      <c r="BR28" t="s">
        <v>19</v>
      </c>
      <c r="BS28" t="s">
        <v>20</v>
      </c>
      <c r="BT28" t="s">
        <v>21</v>
      </c>
      <c r="BU28" t="s">
        <v>22</v>
      </c>
      <c r="BV28" t="s">
        <v>23</v>
      </c>
      <c r="BW28" t="s">
        <v>24</v>
      </c>
      <c r="BX28" t="s">
        <v>25</v>
      </c>
      <c r="BY28" t="s">
        <v>26</v>
      </c>
      <c r="BZ28" t="s">
        <v>27</v>
      </c>
      <c r="CA28" t="s">
        <v>42</v>
      </c>
      <c r="CB28" t="s">
        <v>43</v>
      </c>
      <c r="CC28" t="s">
        <v>44</v>
      </c>
      <c r="CD28" t="s">
        <v>45</v>
      </c>
      <c r="CE28" t="s">
        <v>48</v>
      </c>
    </row>
    <row r="29" spans="1:83" x14ac:dyDescent="0.25">
      <c r="A29">
        <v>0</v>
      </c>
      <c r="B29">
        <f>MAX(B$1-A29,0)</f>
        <v>1</v>
      </c>
      <c r="C29">
        <f>B29</f>
        <v>1</v>
      </c>
      <c r="D29">
        <f t="shared" ref="D29:D45" si="6">MAX($B29*D$27,0)</f>
        <v>4.2857142857142856</v>
      </c>
      <c r="E29">
        <v>0</v>
      </c>
      <c r="F29">
        <f>IF(F$26&gt;$D29,$D29/F$26,1)</f>
        <v>0.26785714285714285</v>
      </c>
      <c r="G29">
        <f t="shared" ref="G29:V44" si="7">IF(G$26&gt;$D29,$D29/G$26,1)</f>
        <v>0.2857142857142857</v>
      </c>
      <c r="H29">
        <f t="shared" si="7"/>
        <v>0.30612244897959184</v>
      </c>
      <c r="I29">
        <f t="shared" si="7"/>
        <v>0.32967032967032966</v>
      </c>
      <c r="J29">
        <f t="shared" si="7"/>
        <v>0.35714285714285715</v>
      </c>
      <c r="K29">
        <f t="shared" si="7"/>
        <v>0.38961038961038957</v>
      </c>
      <c r="L29">
        <f t="shared" si="7"/>
        <v>0.42857142857142855</v>
      </c>
      <c r="M29">
        <f t="shared" si="7"/>
        <v>0.47619047619047616</v>
      </c>
      <c r="N29">
        <f t="shared" si="7"/>
        <v>0.5357142857142857</v>
      </c>
      <c r="O29">
        <f t="shared" si="7"/>
        <v>0.61224489795918369</v>
      </c>
      <c r="P29">
        <f t="shared" si="7"/>
        <v>0.7142857142857143</v>
      </c>
      <c r="Q29">
        <f t="shared" si="7"/>
        <v>0.8571428571428571</v>
      </c>
      <c r="R29">
        <f t="shared" si="7"/>
        <v>1</v>
      </c>
      <c r="S29">
        <f t="shared" si="7"/>
        <v>1</v>
      </c>
      <c r="T29">
        <f t="shared" si="7"/>
        <v>1</v>
      </c>
      <c r="U29">
        <f t="shared" si="7"/>
        <v>1</v>
      </c>
      <c r="V29">
        <f t="shared" si="7"/>
        <v>1</v>
      </c>
      <c r="Y29">
        <v>0</v>
      </c>
      <c r="Z29">
        <f>-B29</f>
        <v>-1</v>
      </c>
      <c r="AA29">
        <f t="shared" ref="AA29:AA49" si="8">-ABS($Z29*F29)</f>
        <v>-0.26785714285714285</v>
      </c>
      <c r="AB29">
        <f t="shared" ref="AB29:AB49" si="9">-ABS($Z29*G29)</f>
        <v>-0.2857142857142857</v>
      </c>
      <c r="AC29">
        <f t="shared" ref="AC29:AC49" si="10">-ABS($Z29*H29)</f>
        <v>-0.30612244897959184</v>
      </c>
      <c r="AD29">
        <f t="shared" ref="AD29:AD49" si="11">-ABS($Z29*I29)</f>
        <v>-0.32967032967032966</v>
      </c>
      <c r="AE29">
        <f t="shared" ref="AE29:AE49" si="12">-ABS($Z29*J29)</f>
        <v>-0.35714285714285715</v>
      </c>
      <c r="AF29">
        <f t="shared" ref="AF29:AF49" si="13">-ABS($Z29*K29)</f>
        <v>-0.38961038961038957</v>
      </c>
      <c r="AG29">
        <f t="shared" ref="AG29:AG49" si="14">-ABS($Z29*L29)</f>
        <v>-0.42857142857142855</v>
      </c>
      <c r="AH29">
        <f t="shared" ref="AH29:AH49" si="15">-ABS($Z29*M29)</f>
        <v>-0.47619047619047616</v>
      </c>
      <c r="AI29">
        <f t="shared" ref="AI29:AI49" si="16">-ABS($Z29*N29)</f>
        <v>-0.5357142857142857</v>
      </c>
      <c r="AJ29">
        <f t="shared" ref="AJ29:AJ49" si="17">-ABS($Z29*O29)</f>
        <v>-0.61224489795918369</v>
      </c>
      <c r="AK29">
        <f t="shared" ref="AK29:AK49" si="18">-ABS($Z29*P29)</f>
        <v>-0.7142857142857143</v>
      </c>
      <c r="AL29">
        <f t="shared" ref="AL29:AL49" si="19">-ABS($Z29*Q29)</f>
        <v>-0.8571428571428571</v>
      </c>
      <c r="AM29">
        <f t="shared" ref="AM29:AM49" si="20">-ABS($Z29*R29)</f>
        <v>-1</v>
      </c>
      <c r="AN29">
        <f t="shared" ref="AN29:AN49" si="21">-ABS($Z29*S29)</f>
        <v>-1</v>
      </c>
      <c r="AO29">
        <f t="shared" ref="AO29:AO49" si="22">-ABS($Z29*T29)</f>
        <v>-1</v>
      </c>
      <c r="AP29">
        <f t="shared" ref="AP29:AP49" si="23">-ABS($Z29*U29)</f>
        <v>-1</v>
      </c>
      <c r="AQ29">
        <f t="shared" ref="AQ29:AQ49" si="24">-ABS($Z29*V29)</f>
        <v>-1</v>
      </c>
      <c r="AR29">
        <v>4.2857142857142856</v>
      </c>
      <c r="AT29">
        <v>0</v>
      </c>
      <c r="AU29">
        <f>(1-F29)*$AT29</f>
        <v>0</v>
      </c>
      <c r="AV29">
        <f t="shared" ref="AV29:BK29" si="25">(1-G29)*$AT29</f>
        <v>0</v>
      </c>
      <c r="AW29">
        <f t="shared" si="25"/>
        <v>0</v>
      </c>
      <c r="AX29">
        <f t="shared" si="25"/>
        <v>0</v>
      </c>
      <c r="AY29">
        <f t="shared" si="25"/>
        <v>0</v>
      </c>
      <c r="AZ29">
        <f t="shared" si="25"/>
        <v>0</v>
      </c>
      <c r="BA29">
        <f t="shared" si="25"/>
        <v>0</v>
      </c>
      <c r="BB29">
        <f t="shared" si="25"/>
        <v>0</v>
      </c>
      <c r="BC29">
        <f t="shared" si="25"/>
        <v>0</v>
      </c>
      <c r="BD29">
        <f t="shared" si="25"/>
        <v>0</v>
      </c>
      <c r="BE29">
        <f t="shared" si="25"/>
        <v>0</v>
      </c>
      <c r="BF29">
        <f t="shared" si="25"/>
        <v>0</v>
      </c>
      <c r="BG29">
        <f t="shared" si="25"/>
        <v>0</v>
      </c>
      <c r="BH29">
        <f t="shared" si="25"/>
        <v>0</v>
      </c>
      <c r="BI29">
        <f t="shared" si="25"/>
        <v>0</v>
      </c>
      <c r="BJ29">
        <f t="shared" si="25"/>
        <v>0</v>
      </c>
      <c r="BK29">
        <f t="shared" si="25"/>
        <v>0</v>
      </c>
      <c r="BM29">
        <v>0</v>
      </c>
      <c r="BN29">
        <v>0</v>
      </c>
      <c r="BO29">
        <f>-AU29+AA29</f>
        <v>-0.26785714285714285</v>
      </c>
      <c r="BP29">
        <f t="shared" ref="BP29:CE44" si="26">-AV29+AB29</f>
        <v>-0.2857142857142857</v>
      </c>
      <c r="BQ29">
        <f t="shared" si="26"/>
        <v>-0.30612244897959184</v>
      </c>
      <c r="BR29">
        <f t="shared" si="26"/>
        <v>-0.32967032967032966</v>
      </c>
      <c r="BS29">
        <f t="shared" si="26"/>
        <v>-0.35714285714285715</v>
      </c>
      <c r="BT29">
        <f t="shared" si="26"/>
        <v>-0.38961038961038957</v>
      </c>
      <c r="BU29">
        <f t="shared" si="26"/>
        <v>-0.42857142857142855</v>
      </c>
      <c r="BV29">
        <f t="shared" si="26"/>
        <v>-0.47619047619047616</v>
      </c>
      <c r="BW29">
        <f t="shared" si="26"/>
        <v>-0.5357142857142857</v>
      </c>
      <c r="BX29">
        <f t="shared" si="26"/>
        <v>-0.61224489795918369</v>
      </c>
      <c r="BY29">
        <f t="shared" si="26"/>
        <v>-0.7142857142857143</v>
      </c>
      <c r="BZ29">
        <f t="shared" si="26"/>
        <v>-0.8571428571428571</v>
      </c>
      <c r="CA29">
        <f t="shared" si="26"/>
        <v>-1</v>
      </c>
      <c r="CB29">
        <f t="shared" si="26"/>
        <v>-1</v>
      </c>
      <c r="CC29">
        <f t="shared" si="26"/>
        <v>-1</v>
      </c>
      <c r="CD29">
        <f t="shared" si="26"/>
        <v>-1</v>
      </c>
      <c r="CE29">
        <f t="shared" si="26"/>
        <v>-1</v>
      </c>
    </row>
    <row r="30" spans="1:83" x14ac:dyDescent="0.25">
      <c r="A30">
        <v>0.05</v>
      </c>
      <c r="B30">
        <f t="shared" ref="B30:B49" si="27">MAX(B$1-A30,0)</f>
        <v>0.95</v>
      </c>
      <c r="C30">
        <f t="shared" ref="C30:C49" si="28">B30</f>
        <v>0.95</v>
      </c>
      <c r="D30">
        <f t="shared" si="6"/>
        <v>4.0714285714285712</v>
      </c>
      <c r="E30">
        <v>5</v>
      </c>
      <c r="F30">
        <f>IF(F$26&gt;$D30,$D30/F$26,1)</f>
        <v>0.2544642857142857</v>
      </c>
      <c r="G30">
        <f t="shared" si="7"/>
        <v>0.27142857142857141</v>
      </c>
      <c r="H30">
        <f t="shared" si="7"/>
        <v>0.29081632653061223</v>
      </c>
      <c r="I30">
        <f t="shared" si="7"/>
        <v>0.31318681318681318</v>
      </c>
      <c r="J30">
        <f t="shared" si="7"/>
        <v>0.33928571428571425</v>
      </c>
      <c r="K30">
        <f t="shared" si="7"/>
        <v>0.37012987012987009</v>
      </c>
      <c r="L30">
        <f t="shared" si="7"/>
        <v>0.40714285714285714</v>
      </c>
      <c r="M30">
        <f t="shared" si="7"/>
        <v>0.45238095238095233</v>
      </c>
      <c r="N30">
        <f t="shared" si="7"/>
        <v>0.5089285714285714</v>
      </c>
      <c r="O30">
        <f t="shared" si="7"/>
        <v>0.58163265306122447</v>
      </c>
      <c r="P30">
        <f t="shared" si="7"/>
        <v>0.67857142857142849</v>
      </c>
      <c r="Q30">
        <f t="shared" si="7"/>
        <v>0.81428571428571428</v>
      </c>
      <c r="R30">
        <f t="shared" si="7"/>
        <v>1</v>
      </c>
      <c r="S30">
        <f t="shared" si="7"/>
        <v>1</v>
      </c>
      <c r="T30">
        <f t="shared" si="7"/>
        <v>1</v>
      </c>
      <c r="U30">
        <f t="shared" si="7"/>
        <v>1</v>
      </c>
      <c r="V30">
        <f t="shared" si="7"/>
        <v>1</v>
      </c>
      <c r="Y30">
        <v>5</v>
      </c>
      <c r="Z30">
        <f t="shared" ref="Z30:Z49" si="29">-B30</f>
        <v>-0.95</v>
      </c>
      <c r="AA30">
        <f t="shared" si="8"/>
        <v>-0.2417410714285714</v>
      </c>
      <c r="AB30">
        <f t="shared" si="9"/>
        <v>-0.25785714285714284</v>
      </c>
      <c r="AC30">
        <f t="shared" si="10"/>
        <v>-0.27627551020408159</v>
      </c>
      <c r="AD30">
        <f t="shared" si="11"/>
        <v>-0.29752747252747253</v>
      </c>
      <c r="AE30">
        <f t="shared" si="12"/>
        <v>-0.32232142857142854</v>
      </c>
      <c r="AF30">
        <f t="shared" si="13"/>
        <v>-0.35162337662337656</v>
      </c>
      <c r="AG30">
        <f t="shared" si="14"/>
        <v>-0.38678571428571429</v>
      </c>
      <c r="AH30">
        <f t="shared" si="15"/>
        <v>-0.42976190476190468</v>
      </c>
      <c r="AI30">
        <f t="shared" si="16"/>
        <v>-0.4834821428571428</v>
      </c>
      <c r="AJ30">
        <f t="shared" si="17"/>
        <v>-0.55255102040816317</v>
      </c>
      <c r="AK30">
        <f t="shared" si="18"/>
        <v>-0.64464285714285707</v>
      </c>
      <c r="AL30">
        <f t="shared" si="19"/>
        <v>-0.77357142857142858</v>
      </c>
      <c r="AM30">
        <f t="shared" si="20"/>
        <v>-0.95</v>
      </c>
      <c r="AN30">
        <f t="shared" si="21"/>
        <v>-0.95</v>
      </c>
      <c r="AO30">
        <f t="shared" si="22"/>
        <v>-0.95</v>
      </c>
      <c r="AP30">
        <f t="shared" si="23"/>
        <v>-0.95</v>
      </c>
      <c r="AQ30">
        <f t="shared" si="24"/>
        <v>-0.95</v>
      </c>
      <c r="AR30">
        <v>4.0714285714285712</v>
      </c>
      <c r="AT30">
        <v>0.05</v>
      </c>
      <c r="AU30">
        <f t="shared" ref="AU30:AU49" si="30">(1-F30)*$AT30</f>
        <v>3.7276785714285714E-2</v>
      </c>
      <c r="AV30">
        <f t="shared" ref="AV30:AV49" si="31">(1-G30)*$AT30</f>
        <v>3.6428571428571435E-2</v>
      </c>
      <c r="AW30">
        <f t="shared" ref="AW30:AW49" si="32">(1-H30)*$AT30</f>
        <v>3.545918367346939E-2</v>
      </c>
      <c r="AX30">
        <f t="shared" ref="AX30:AX49" si="33">(1-I30)*$AT30</f>
        <v>3.4340659340659344E-2</v>
      </c>
      <c r="AY30">
        <f t="shared" ref="AY30:AY49" si="34">(1-J30)*$AT30</f>
        <v>3.3035714285714293E-2</v>
      </c>
      <c r="AZ30">
        <f t="shared" ref="AZ30:AZ49" si="35">(1-K30)*$AT30</f>
        <v>3.1493506493506497E-2</v>
      </c>
      <c r="BA30">
        <f t="shared" ref="BA30:BA49" si="36">(1-L30)*$AT30</f>
        <v>2.9642857142857144E-2</v>
      </c>
      <c r="BB30">
        <f t="shared" ref="BB30:BB49" si="37">(1-M30)*$AT30</f>
        <v>2.7380952380952384E-2</v>
      </c>
      <c r="BC30">
        <f t="shared" ref="BC30:BC49" si="38">(1-N30)*$AT30</f>
        <v>2.4553571428571432E-2</v>
      </c>
      <c r="BD30">
        <f t="shared" ref="BD30:BD49" si="39">(1-O30)*$AT30</f>
        <v>2.0918367346938777E-2</v>
      </c>
      <c r="BE30">
        <f t="shared" ref="BE30:BE49" si="40">(1-P30)*$AT30</f>
        <v>1.6071428571428577E-2</v>
      </c>
      <c r="BF30">
        <f t="shared" ref="BF30:BF49" si="41">(1-Q30)*$AT30</f>
        <v>9.285714285714286E-3</v>
      </c>
      <c r="BG30">
        <f t="shared" ref="BG30:BG49" si="42">(1-R30)*$AT30</f>
        <v>0</v>
      </c>
      <c r="BH30">
        <f t="shared" ref="BH30:BH49" si="43">(1-S30)*$AT30</f>
        <v>0</v>
      </c>
      <c r="BI30">
        <f t="shared" ref="BI30:BI49" si="44">(1-T30)*$AT30</f>
        <v>0</v>
      </c>
      <c r="BJ30">
        <f t="shared" ref="BJ30:BJ49" si="45">(1-U30)*$AT30</f>
        <v>0</v>
      </c>
      <c r="BK30">
        <f t="shared" ref="BK30:BK48" si="46">(1-V30)*$AT30</f>
        <v>0</v>
      </c>
      <c r="BM30">
        <v>5</v>
      </c>
      <c r="BN30">
        <v>0.05</v>
      </c>
      <c r="BO30">
        <f t="shared" ref="BO30:BO49" si="47">-AU30+AA30</f>
        <v>-0.2790178571428571</v>
      </c>
      <c r="BP30">
        <f t="shared" si="26"/>
        <v>-0.29428571428571426</v>
      </c>
      <c r="BQ30">
        <f t="shared" si="26"/>
        <v>-0.31173469387755098</v>
      </c>
      <c r="BR30">
        <f t="shared" si="26"/>
        <v>-0.33186813186813185</v>
      </c>
      <c r="BS30">
        <f t="shared" si="26"/>
        <v>-0.35535714285714282</v>
      </c>
      <c r="BT30">
        <f t="shared" si="26"/>
        <v>-0.38311688311688308</v>
      </c>
      <c r="BU30">
        <f t="shared" si="26"/>
        <v>-0.41642857142857143</v>
      </c>
      <c r="BV30">
        <f t="shared" si="26"/>
        <v>-0.45714285714285707</v>
      </c>
      <c r="BW30">
        <f t="shared" si="26"/>
        <v>-0.50803571428571426</v>
      </c>
      <c r="BX30">
        <f t="shared" si="26"/>
        <v>-0.57346938775510192</v>
      </c>
      <c r="BY30">
        <f t="shared" si="26"/>
        <v>-0.6607142857142857</v>
      </c>
      <c r="BZ30">
        <f t="shared" si="26"/>
        <v>-0.78285714285714292</v>
      </c>
      <c r="CA30">
        <f t="shared" si="26"/>
        <v>-0.95</v>
      </c>
      <c r="CB30">
        <f t="shared" si="26"/>
        <v>-0.95</v>
      </c>
      <c r="CC30">
        <f t="shared" si="26"/>
        <v>-0.95</v>
      </c>
      <c r="CD30">
        <f t="shared" si="26"/>
        <v>-0.95</v>
      </c>
      <c r="CE30">
        <f t="shared" si="26"/>
        <v>-0.95</v>
      </c>
    </row>
    <row r="31" spans="1:83" x14ac:dyDescent="0.25">
      <c r="A31">
        <v>0.1</v>
      </c>
      <c r="B31">
        <f t="shared" si="27"/>
        <v>0.9</v>
      </c>
      <c r="C31">
        <f t="shared" si="28"/>
        <v>0.9</v>
      </c>
      <c r="D31">
        <f t="shared" si="6"/>
        <v>3.8571428571428572</v>
      </c>
      <c r="E31">
        <v>10</v>
      </c>
      <c r="F31">
        <f t="shared" ref="F31:U49" si="48">IF(F$26&gt;$D31,$D31/F$26,1)</f>
        <v>0.24107142857142858</v>
      </c>
      <c r="G31">
        <f t="shared" si="48"/>
        <v>0.25714285714285717</v>
      </c>
      <c r="H31">
        <f t="shared" si="48"/>
        <v>0.27551020408163268</v>
      </c>
      <c r="I31">
        <f t="shared" si="48"/>
        <v>0.2967032967032967</v>
      </c>
      <c r="J31">
        <f t="shared" si="48"/>
        <v>0.32142857142857145</v>
      </c>
      <c r="K31">
        <f t="shared" si="48"/>
        <v>0.35064935064935066</v>
      </c>
      <c r="L31">
        <f t="shared" si="48"/>
        <v>0.38571428571428573</v>
      </c>
      <c r="M31">
        <f t="shared" si="48"/>
        <v>0.4285714285714286</v>
      </c>
      <c r="N31">
        <f t="shared" si="48"/>
        <v>0.48214285714285715</v>
      </c>
      <c r="O31">
        <f t="shared" si="48"/>
        <v>0.55102040816326536</v>
      </c>
      <c r="P31">
        <f t="shared" si="48"/>
        <v>0.6428571428571429</v>
      </c>
      <c r="Q31">
        <f t="shared" si="48"/>
        <v>0.77142857142857146</v>
      </c>
      <c r="R31">
        <f t="shared" si="48"/>
        <v>0.9642857142857143</v>
      </c>
      <c r="S31">
        <f t="shared" si="48"/>
        <v>1</v>
      </c>
      <c r="T31">
        <f t="shared" si="48"/>
        <v>1</v>
      </c>
      <c r="U31">
        <f t="shared" si="48"/>
        <v>1</v>
      </c>
      <c r="V31">
        <f t="shared" si="7"/>
        <v>1</v>
      </c>
      <c r="Y31">
        <v>10</v>
      </c>
      <c r="Z31">
        <f t="shared" si="29"/>
        <v>-0.9</v>
      </c>
      <c r="AA31">
        <f t="shared" si="8"/>
        <v>-0.21696428571428572</v>
      </c>
      <c r="AB31">
        <f t="shared" si="9"/>
        <v>-0.23142857142857146</v>
      </c>
      <c r="AC31">
        <f t="shared" si="10"/>
        <v>-0.24795918367346942</v>
      </c>
      <c r="AD31">
        <f t="shared" si="11"/>
        <v>-0.26703296703296703</v>
      </c>
      <c r="AE31">
        <f t="shared" si="12"/>
        <v>-0.28928571428571431</v>
      </c>
      <c r="AF31">
        <f t="shared" si="13"/>
        <v>-0.31558441558441558</v>
      </c>
      <c r="AG31">
        <f t="shared" si="14"/>
        <v>-0.34714285714285714</v>
      </c>
      <c r="AH31">
        <f t="shared" si="15"/>
        <v>-0.38571428571428573</v>
      </c>
      <c r="AI31">
        <f t="shared" si="16"/>
        <v>-0.43392857142857144</v>
      </c>
      <c r="AJ31">
        <f t="shared" si="17"/>
        <v>-0.49591836734693884</v>
      </c>
      <c r="AK31">
        <f t="shared" si="18"/>
        <v>-0.57857142857142863</v>
      </c>
      <c r="AL31">
        <f t="shared" si="19"/>
        <v>-0.69428571428571428</v>
      </c>
      <c r="AM31">
        <f t="shared" si="20"/>
        <v>-0.86785714285714288</v>
      </c>
      <c r="AN31">
        <f t="shared" si="21"/>
        <v>-0.9</v>
      </c>
      <c r="AO31">
        <f t="shared" si="22"/>
        <v>-0.9</v>
      </c>
      <c r="AP31">
        <f t="shared" si="23"/>
        <v>-0.9</v>
      </c>
      <c r="AQ31">
        <f t="shared" si="24"/>
        <v>-0.9</v>
      </c>
      <c r="AR31">
        <v>3.8571428571428572</v>
      </c>
      <c r="AT31">
        <v>0.1</v>
      </c>
      <c r="AU31">
        <f t="shared" si="30"/>
        <v>7.5892857142857151E-2</v>
      </c>
      <c r="AV31">
        <f t="shared" si="31"/>
        <v>7.4285714285714288E-2</v>
      </c>
      <c r="AW31">
        <f t="shared" si="32"/>
        <v>7.2448979591836743E-2</v>
      </c>
      <c r="AX31">
        <f t="shared" si="33"/>
        <v>7.032967032967033E-2</v>
      </c>
      <c r="AY31">
        <f t="shared" si="34"/>
        <v>6.7857142857142866E-2</v>
      </c>
      <c r="AZ31">
        <f t="shared" si="35"/>
        <v>6.4935064935064943E-2</v>
      </c>
      <c r="BA31">
        <f t="shared" si="36"/>
        <v>6.1428571428571437E-2</v>
      </c>
      <c r="BB31">
        <f t="shared" si="37"/>
        <v>5.7142857142857141E-2</v>
      </c>
      <c r="BC31">
        <f t="shared" si="38"/>
        <v>5.1785714285714282E-2</v>
      </c>
      <c r="BD31">
        <f t="shared" si="39"/>
        <v>4.4897959183673466E-2</v>
      </c>
      <c r="BE31">
        <f t="shared" si="40"/>
        <v>3.5714285714285712E-2</v>
      </c>
      <c r="BF31">
        <f t="shared" si="41"/>
        <v>2.2857142857142854E-2</v>
      </c>
      <c r="BG31">
        <f t="shared" si="42"/>
        <v>3.57142857142857E-3</v>
      </c>
      <c r="BH31">
        <f t="shared" si="43"/>
        <v>0</v>
      </c>
      <c r="BI31">
        <f t="shared" si="44"/>
        <v>0</v>
      </c>
      <c r="BJ31">
        <f t="shared" si="45"/>
        <v>0</v>
      </c>
      <c r="BK31">
        <f t="shared" si="46"/>
        <v>0</v>
      </c>
      <c r="BM31">
        <v>10</v>
      </c>
      <c r="BN31">
        <v>0.1</v>
      </c>
      <c r="BO31">
        <f t="shared" si="47"/>
        <v>-0.29285714285714287</v>
      </c>
      <c r="BP31">
        <f t="shared" si="26"/>
        <v>-0.30571428571428572</v>
      </c>
      <c r="BQ31">
        <f t="shared" si="26"/>
        <v>-0.32040816326530619</v>
      </c>
      <c r="BR31">
        <f t="shared" si="26"/>
        <v>-0.33736263736263739</v>
      </c>
      <c r="BS31">
        <f t="shared" si="26"/>
        <v>-0.35714285714285721</v>
      </c>
      <c r="BT31">
        <f t="shared" si="26"/>
        <v>-0.38051948051948054</v>
      </c>
      <c r="BU31">
        <f t="shared" si="26"/>
        <v>-0.40857142857142859</v>
      </c>
      <c r="BV31">
        <f t="shared" si="26"/>
        <v>-0.44285714285714289</v>
      </c>
      <c r="BW31">
        <f t="shared" si="26"/>
        <v>-0.48571428571428571</v>
      </c>
      <c r="BX31">
        <f t="shared" si="26"/>
        <v>-0.54081632653061229</v>
      </c>
      <c r="BY31">
        <f t="shared" si="26"/>
        <v>-0.61428571428571432</v>
      </c>
      <c r="BZ31">
        <f t="shared" si="26"/>
        <v>-0.71714285714285708</v>
      </c>
      <c r="CA31">
        <f t="shared" si="26"/>
        <v>-0.87142857142857144</v>
      </c>
      <c r="CB31">
        <f t="shared" si="26"/>
        <v>-0.9</v>
      </c>
      <c r="CC31">
        <f t="shared" si="26"/>
        <v>-0.9</v>
      </c>
      <c r="CD31">
        <f t="shared" si="26"/>
        <v>-0.9</v>
      </c>
      <c r="CE31">
        <f t="shared" si="26"/>
        <v>-0.9</v>
      </c>
    </row>
    <row r="32" spans="1:83" x14ac:dyDescent="0.25">
      <c r="A32">
        <v>0.15</v>
      </c>
      <c r="B32">
        <f t="shared" si="27"/>
        <v>0.85</v>
      </c>
      <c r="C32">
        <f t="shared" si="28"/>
        <v>0.85</v>
      </c>
      <c r="D32">
        <f t="shared" si="6"/>
        <v>3.6428571428571428</v>
      </c>
      <c r="E32">
        <v>15</v>
      </c>
      <c r="F32">
        <f t="shared" si="48"/>
        <v>0.22767857142857142</v>
      </c>
      <c r="G32">
        <f t="shared" si="7"/>
        <v>0.24285714285714285</v>
      </c>
      <c r="H32">
        <f t="shared" si="7"/>
        <v>0.26020408163265307</v>
      </c>
      <c r="I32">
        <f t="shared" si="7"/>
        <v>0.28021978021978022</v>
      </c>
      <c r="J32">
        <f t="shared" si="7"/>
        <v>0.30357142857142855</v>
      </c>
      <c r="K32">
        <f t="shared" si="7"/>
        <v>0.33116883116883117</v>
      </c>
      <c r="L32">
        <f t="shared" si="7"/>
        <v>0.36428571428571427</v>
      </c>
      <c r="M32">
        <f t="shared" si="7"/>
        <v>0.40476190476190477</v>
      </c>
      <c r="N32">
        <f t="shared" si="7"/>
        <v>0.45535714285714285</v>
      </c>
      <c r="O32">
        <f t="shared" si="7"/>
        <v>0.52040816326530615</v>
      </c>
      <c r="P32">
        <f t="shared" si="7"/>
        <v>0.6071428571428571</v>
      </c>
      <c r="Q32">
        <f t="shared" si="7"/>
        <v>0.72857142857142854</v>
      </c>
      <c r="R32">
        <f t="shared" si="7"/>
        <v>0.9107142857142857</v>
      </c>
      <c r="S32">
        <f t="shared" si="7"/>
        <v>1</v>
      </c>
      <c r="T32">
        <f t="shared" si="7"/>
        <v>1</v>
      </c>
      <c r="U32">
        <f t="shared" si="7"/>
        <v>1</v>
      </c>
      <c r="V32">
        <f t="shared" si="7"/>
        <v>1</v>
      </c>
      <c r="Y32">
        <v>15</v>
      </c>
      <c r="Z32">
        <f t="shared" si="29"/>
        <v>-0.85</v>
      </c>
      <c r="AA32">
        <f t="shared" si="8"/>
        <v>-0.19352678571428569</v>
      </c>
      <c r="AB32">
        <f t="shared" si="9"/>
        <v>-0.20642857142857143</v>
      </c>
      <c r="AC32">
        <f t="shared" si="10"/>
        <v>-0.22117346938775512</v>
      </c>
      <c r="AD32">
        <f t="shared" si="11"/>
        <v>-0.23818681318681317</v>
      </c>
      <c r="AE32">
        <f t="shared" si="12"/>
        <v>-0.25803571428571426</v>
      </c>
      <c r="AF32">
        <f t="shared" si="13"/>
        <v>-0.28149350649350646</v>
      </c>
      <c r="AG32">
        <f t="shared" si="14"/>
        <v>-0.30964285714285711</v>
      </c>
      <c r="AH32">
        <f t="shared" si="15"/>
        <v>-0.34404761904761905</v>
      </c>
      <c r="AI32">
        <f t="shared" si="16"/>
        <v>-0.38705357142857139</v>
      </c>
      <c r="AJ32">
        <f t="shared" si="17"/>
        <v>-0.44234693877551023</v>
      </c>
      <c r="AK32">
        <f t="shared" si="18"/>
        <v>-0.51607142857142851</v>
      </c>
      <c r="AL32">
        <f t="shared" si="19"/>
        <v>-0.61928571428571422</v>
      </c>
      <c r="AM32">
        <f t="shared" si="20"/>
        <v>-0.77410714285714277</v>
      </c>
      <c r="AN32">
        <f t="shared" si="21"/>
        <v>-0.85</v>
      </c>
      <c r="AO32">
        <f t="shared" si="22"/>
        <v>-0.85</v>
      </c>
      <c r="AP32">
        <f t="shared" si="23"/>
        <v>-0.85</v>
      </c>
      <c r="AQ32">
        <f t="shared" si="24"/>
        <v>-0.85</v>
      </c>
      <c r="AR32">
        <v>3.6428571428571428</v>
      </c>
      <c r="AT32">
        <v>0.15</v>
      </c>
      <c r="AU32">
        <f t="shared" si="30"/>
        <v>0.11584821428571429</v>
      </c>
      <c r="AV32">
        <f t="shared" si="31"/>
        <v>0.11357142857142856</v>
      </c>
      <c r="AW32">
        <f t="shared" si="32"/>
        <v>0.11096938775510204</v>
      </c>
      <c r="AX32">
        <f t="shared" si="33"/>
        <v>0.10796703296703296</v>
      </c>
      <c r="AY32">
        <f t="shared" si="34"/>
        <v>0.1044642857142857</v>
      </c>
      <c r="AZ32">
        <f t="shared" si="35"/>
        <v>0.10032467532467532</v>
      </c>
      <c r="BA32">
        <f t="shared" si="36"/>
        <v>9.5357142857142849E-2</v>
      </c>
      <c r="BB32">
        <f t="shared" si="37"/>
        <v>8.9285714285714288E-2</v>
      </c>
      <c r="BC32">
        <f t="shared" si="38"/>
        <v>8.1696428571428573E-2</v>
      </c>
      <c r="BD32">
        <f t="shared" si="39"/>
        <v>7.193877551020407E-2</v>
      </c>
      <c r="BE32">
        <f t="shared" si="40"/>
        <v>5.8928571428571434E-2</v>
      </c>
      <c r="BF32">
        <f t="shared" si="41"/>
        <v>4.0714285714285717E-2</v>
      </c>
      <c r="BG32">
        <f t="shared" si="42"/>
        <v>1.3392857142857146E-2</v>
      </c>
      <c r="BH32">
        <f t="shared" si="43"/>
        <v>0</v>
      </c>
      <c r="BI32">
        <f t="shared" si="44"/>
        <v>0</v>
      </c>
      <c r="BJ32">
        <f t="shared" si="45"/>
        <v>0</v>
      </c>
      <c r="BK32">
        <f t="shared" si="46"/>
        <v>0</v>
      </c>
      <c r="BM32">
        <v>15</v>
      </c>
      <c r="BN32">
        <v>0.15</v>
      </c>
      <c r="BO32">
        <f t="shared" si="47"/>
        <v>-0.30937499999999996</v>
      </c>
      <c r="BP32">
        <f t="shared" si="26"/>
        <v>-0.32</v>
      </c>
      <c r="BQ32">
        <f t="shared" si="26"/>
        <v>-0.33214285714285718</v>
      </c>
      <c r="BR32">
        <f t="shared" si="26"/>
        <v>-0.34615384615384615</v>
      </c>
      <c r="BS32">
        <f t="shared" si="26"/>
        <v>-0.36249999999999993</v>
      </c>
      <c r="BT32">
        <f t="shared" si="26"/>
        <v>-0.38181818181818178</v>
      </c>
      <c r="BU32">
        <f t="shared" si="26"/>
        <v>-0.40499999999999997</v>
      </c>
      <c r="BV32">
        <f t="shared" si="26"/>
        <v>-0.43333333333333335</v>
      </c>
      <c r="BW32">
        <f t="shared" si="26"/>
        <v>-0.46874999999999994</v>
      </c>
      <c r="BX32">
        <f t="shared" si="26"/>
        <v>-0.51428571428571435</v>
      </c>
      <c r="BY32">
        <f t="shared" si="26"/>
        <v>-0.57499999999999996</v>
      </c>
      <c r="BZ32">
        <f t="shared" si="26"/>
        <v>-0.65999999999999992</v>
      </c>
      <c r="CA32">
        <f t="shared" si="26"/>
        <v>-0.78749999999999987</v>
      </c>
      <c r="CB32">
        <f t="shared" si="26"/>
        <v>-0.85</v>
      </c>
      <c r="CC32">
        <f t="shared" si="26"/>
        <v>-0.85</v>
      </c>
      <c r="CD32">
        <f t="shared" si="26"/>
        <v>-0.85</v>
      </c>
      <c r="CE32">
        <f t="shared" si="26"/>
        <v>-0.85</v>
      </c>
    </row>
    <row r="33" spans="1:83" x14ac:dyDescent="0.25">
      <c r="A33">
        <v>0.2</v>
      </c>
      <c r="B33">
        <f t="shared" si="27"/>
        <v>0.8</v>
      </c>
      <c r="C33">
        <f t="shared" si="28"/>
        <v>0.8</v>
      </c>
      <c r="D33">
        <f t="shared" si="6"/>
        <v>3.4285714285714288</v>
      </c>
      <c r="E33">
        <v>20</v>
      </c>
      <c r="F33">
        <f t="shared" si="48"/>
        <v>0.2142857142857143</v>
      </c>
      <c r="G33">
        <f t="shared" si="7"/>
        <v>0.22857142857142859</v>
      </c>
      <c r="H33">
        <f t="shared" si="7"/>
        <v>0.24489795918367349</v>
      </c>
      <c r="I33">
        <f t="shared" si="7"/>
        <v>0.26373626373626374</v>
      </c>
      <c r="J33">
        <f t="shared" si="7"/>
        <v>0.28571428571428575</v>
      </c>
      <c r="K33">
        <f t="shared" si="7"/>
        <v>0.31168831168831174</v>
      </c>
      <c r="L33">
        <f t="shared" si="7"/>
        <v>0.34285714285714286</v>
      </c>
      <c r="M33">
        <f t="shared" si="7"/>
        <v>0.38095238095238099</v>
      </c>
      <c r="N33">
        <f t="shared" si="7"/>
        <v>0.4285714285714286</v>
      </c>
      <c r="O33">
        <f t="shared" si="7"/>
        <v>0.48979591836734698</v>
      </c>
      <c r="P33">
        <f t="shared" si="7"/>
        <v>0.57142857142857151</v>
      </c>
      <c r="Q33">
        <f t="shared" si="7"/>
        <v>0.68571428571428572</v>
      </c>
      <c r="R33">
        <f t="shared" si="7"/>
        <v>0.85714285714285721</v>
      </c>
      <c r="S33">
        <f t="shared" si="7"/>
        <v>1</v>
      </c>
      <c r="T33">
        <f t="shared" si="7"/>
        <v>1</v>
      </c>
      <c r="U33">
        <f t="shared" si="7"/>
        <v>1</v>
      </c>
      <c r="V33">
        <f t="shared" si="7"/>
        <v>1</v>
      </c>
      <c r="Y33">
        <v>20</v>
      </c>
      <c r="Z33">
        <f t="shared" si="29"/>
        <v>-0.8</v>
      </c>
      <c r="AA33">
        <f t="shared" si="8"/>
        <v>-0.17142857142857146</v>
      </c>
      <c r="AB33">
        <f t="shared" si="9"/>
        <v>-0.18285714285714288</v>
      </c>
      <c r="AC33">
        <f t="shared" si="10"/>
        <v>-0.19591836734693879</v>
      </c>
      <c r="AD33">
        <f t="shared" si="11"/>
        <v>-0.21098901098901102</v>
      </c>
      <c r="AE33">
        <f t="shared" si="12"/>
        <v>-0.22857142857142862</v>
      </c>
      <c r="AF33">
        <f t="shared" si="13"/>
        <v>-0.24935064935064941</v>
      </c>
      <c r="AG33">
        <f t="shared" si="14"/>
        <v>-0.2742857142857143</v>
      </c>
      <c r="AH33">
        <f t="shared" si="15"/>
        <v>-0.30476190476190479</v>
      </c>
      <c r="AI33">
        <f t="shared" si="16"/>
        <v>-0.34285714285714292</v>
      </c>
      <c r="AJ33">
        <f t="shared" si="17"/>
        <v>-0.39183673469387759</v>
      </c>
      <c r="AK33">
        <f t="shared" si="18"/>
        <v>-0.45714285714285724</v>
      </c>
      <c r="AL33">
        <f t="shared" si="19"/>
        <v>-0.5485714285714286</v>
      </c>
      <c r="AM33">
        <f t="shared" si="20"/>
        <v>-0.68571428571428583</v>
      </c>
      <c r="AN33">
        <f t="shared" si="21"/>
        <v>-0.8</v>
      </c>
      <c r="AO33">
        <f t="shared" si="22"/>
        <v>-0.8</v>
      </c>
      <c r="AP33">
        <f t="shared" si="23"/>
        <v>-0.8</v>
      </c>
      <c r="AQ33">
        <f t="shared" si="24"/>
        <v>-0.8</v>
      </c>
      <c r="AR33">
        <v>3.4285714285714288</v>
      </c>
      <c r="AT33">
        <v>0.2</v>
      </c>
      <c r="AU33">
        <f t="shared" si="30"/>
        <v>0.15714285714285714</v>
      </c>
      <c r="AV33">
        <f t="shared" si="31"/>
        <v>0.15428571428571428</v>
      </c>
      <c r="AW33">
        <f t="shared" si="32"/>
        <v>0.15102040816326531</v>
      </c>
      <c r="AX33">
        <f t="shared" si="33"/>
        <v>0.14725274725274726</v>
      </c>
      <c r="AY33">
        <f t="shared" si="34"/>
        <v>0.14285714285714285</v>
      </c>
      <c r="AZ33">
        <f t="shared" si="35"/>
        <v>0.13766233766233765</v>
      </c>
      <c r="BA33">
        <f t="shared" si="36"/>
        <v>0.13142857142857142</v>
      </c>
      <c r="BB33">
        <f t="shared" si="37"/>
        <v>0.12380952380952381</v>
      </c>
      <c r="BC33">
        <f t="shared" si="38"/>
        <v>0.11428571428571428</v>
      </c>
      <c r="BD33">
        <f t="shared" si="39"/>
        <v>0.1020408163265306</v>
      </c>
      <c r="BE33">
        <f t="shared" si="40"/>
        <v>8.5714285714285701E-2</v>
      </c>
      <c r="BF33">
        <f t="shared" si="41"/>
        <v>6.2857142857142861E-2</v>
      </c>
      <c r="BG33">
        <f t="shared" si="42"/>
        <v>2.857142857142856E-2</v>
      </c>
      <c r="BH33">
        <f t="shared" si="43"/>
        <v>0</v>
      </c>
      <c r="BI33">
        <f t="shared" si="44"/>
        <v>0</v>
      </c>
      <c r="BJ33">
        <f t="shared" si="45"/>
        <v>0</v>
      </c>
      <c r="BK33">
        <f t="shared" si="46"/>
        <v>0</v>
      </c>
      <c r="BM33">
        <v>20</v>
      </c>
      <c r="BN33">
        <v>0.2</v>
      </c>
      <c r="BO33">
        <f t="shared" si="47"/>
        <v>-0.32857142857142863</v>
      </c>
      <c r="BP33">
        <f t="shared" si="26"/>
        <v>-0.33714285714285719</v>
      </c>
      <c r="BQ33">
        <f t="shared" si="26"/>
        <v>-0.34693877551020413</v>
      </c>
      <c r="BR33">
        <f t="shared" si="26"/>
        <v>-0.3582417582417583</v>
      </c>
      <c r="BS33">
        <f t="shared" si="26"/>
        <v>-0.37142857142857144</v>
      </c>
      <c r="BT33">
        <f t="shared" si="26"/>
        <v>-0.38701298701298703</v>
      </c>
      <c r="BU33">
        <f t="shared" si="26"/>
        <v>-0.40571428571428569</v>
      </c>
      <c r="BV33">
        <f t="shared" si="26"/>
        <v>-0.4285714285714286</v>
      </c>
      <c r="BW33">
        <f t="shared" si="26"/>
        <v>-0.45714285714285718</v>
      </c>
      <c r="BX33">
        <f t="shared" si="26"/>
        <v>-0.4938775510204082</v>
      </c>
      <c r="BY33">
        <f t="shared" si="26"/>
        <v>-0.54285714285714293</v>
      </c>
      <c r="BZ33">
        <f t="shared" si="26"/>
        <v>-0.61142857142857143</v>
      </c>
      <c r="CA33">
        <f t="shared" si="26"/>
        <v>-0.71428571428571441</v>
      </c>
      <c r="CB33">
        <f t="shared" si="26"/>
        <v>-0.8</v>
      </c>
      <c r="CC33">
        <f t="shared" si="26"/>
        <v>-0.8</v>
      </c>
      <c r="CD33">
        <f t="shared" si="26"/>
        <v>-0.8</v>
      </c>
      <c r="CE33">
        <f t="shared" si="26"/>
        <v>-0.8</v>
      </c>
    </row>
    <row r="34" spans="1:83" x14ac:dyDescent="0.25">
      <c r="A34">
        <v>0.25</v>
      </c>
      <c r="B34">
        <f t="shared" si="27"/>
        <v>0.75</v>
      </c>
      <c r="C34">
        <f t="shared" si="28"/>
        <v>0.75</v>
      </c>
      <c r="D34">
        <f t="shared" si="6"/>
        <v>3.2142857142857144</v>
      </c>
      <c r="E34">
        <v>25</v>
      </c>
      <c r="F34">
        <f t="shared" si="48"/>
        <v>0.20089285714285715</v>
      </c>
      <c r="G34">
        <f t="shared" si="7"/>
        <v>0.2142857142857143</v>
      </c>
      <c r="H34">
        <f t="shared" si="7"/>
        <v>0.22959183673469388</v>
      </c>
      <c r="I34">
        <f t="shared" si="7"/>
        <v>0.24725274725274726</v>
      </c>
      <c r="J34">
        <f t="shared" si="7"/>
        <v>0.26785714285714285</v>
      </c>
      <c r="K34">
        <f t="shared" si="7"/>
        <v>0.29220779220779219</v>
      </c>
      <c r="L34">
        <f t="shared" si="7"/>
        <v>0.32142857142857145</v>
      </c>
      <c r="M34">
        <f t="shared" si="7"/>
        <v>0.35714285714285715</v>
      </c>
      <c r="N34">
        <f t="shared" si="7"/>
        <v>0.4017857142857143</v>
      </c>
      <c r="O34">
        <f t="shared" si="7"/>
        <v>0.45918367346938777</v>
      </c>
      <c r="P34">
        <f t="shared" si="7"/>
        <v>0.5357142857142857</v>
      </c>
      <c r="Q34">
        <f t="shared" si="7"/>
        <v>0.6428571428571429</v>
      </c>
      <c r="R34">
        <f t="shared" si="7"/>
        <v>0.8035714285714286</v>
      </c>
      <c r="S34">
        <f t="shared" si="7"/>
        <v>1</v>
      </c>
      <c r="T34">
        <f t="shared" si="7"/>
        <v>1</v>
      </c>
      <c r="U34">
        <f t="shared" si="7"/>
        <v>1</v>
      </c>
      <c r="V34">
        <f t="shared" si="7"/>
        <v>1</v>
      </c>
      <c r="Y34">
        <v>25</v>
      </c>
      <c r="Z34">
        <f t="shared" si="29"/>
        <v>-0.75</v>
      </c>
      <c r="AA34">
        <f t="shared" si="8"/>
        <v>-0.15066964285714285</v>
      </c>
      <c r="AB34">
        <f t="shared" si="9"/>
        <v>-0.16071428571428573</v>
      </c>
      <c r="AC34">
        <f t="shared" si="10"/>
        <v>-0.17219387755102042</v>
      </c>
      <c r="AD34">
        <f t="shared" si="11"/>
        <v>-0.18543956043956045</v>
      </c>
      <c r="AE34">
        <f t="shared" si="12"/>
        <v>-0.20089285714285715</v>
      </c>
      <c r="AF34">
        <f t="shared" si="13"/>
        <v>-0.21915584415584416</v>
      </c>
      <c r="AG34">
        <f t="shared" si="14"/>
        <v>-0.2410714285714286</v>
      </c>
      <c r="AH34">
        <f t="shared" si="15"/>
        <v>-0.26785714285714285</v>
      </c>
      <c r="AI34">
        <f t="shared" si="16"/>
        <v>-0.3013392857142857</v>
      </c>
      <c r="AJ34">
        <f t="shared" si="17"/>
        <v>-0.34438775510204084</v>
      </c>
      <c r="AK34">
        <f t="shared" si="18"/>
        <v>-0.4017857142857143</v>
      </c>
      <c r="AL34">
        <f t="shared" si="19"/>
        <v>-0.48214285714285721</v>
      </c>
      <c r="AM34">
        <f t="shared" si="20"/>
        <v>-0.6026785714285714</v>
      </c>
      <c r="AN34">
        <f t="shared" si="21"/>
        <v>-0.75</v>
      </c>
      <c r="AO34">
        <f t="shared" si="22"/>
        <v>-0.75</v>
      </c>
      <c r="AP34">
        <f t="shared" si="23"/>
        <v>-0.75</v>
      </c>
      <c r="AQ34">
        <f t="shared" si="24"/>
        <v>-0.75</v>
      </c>
      <c r="AR34">
        <v>3.2142857142857144</v>
      </c>
      <c r="AT34">
        <v>0.25</v>
      </c>
      <c r="AU34">
        <f t="shared" si="30"/>
        <v>0.1997767857142857</v>
      </c>
      <c r="AV34">
        <f t="shared" si="31"/>
        <v>0.19642857142857142</v>
      </c>
      <c r="AW34">
        <f t="shared" si="32"/>
        <v>0.19260204081632654</v>
      </c>
      <c r="AX34">
        <f t="shared" si="33"/>
        <v>0.18818681318681318</v>
      </c>
      <c r="AY34">
        <f t="shared" si="34"/>
        <v>0.1830357142857143</v>
      </c>
      <c r="AZ34">
        <f t="shared" si="35"/>
        <v>0.17694805194805197</v>
      </c>
      <c r="BA34">
        <f t="shared" si="36"/>
        <v>0.16964285714285715</v>
      </c>
      <c r="BB34">
        <f t="shared" si="37"/>
        <v>0.1607142857142857</v>
      </c>
      <c r="BC34">
        <f t="shared" si="38"/>
        <v>0.14955357142857142</v>
      </c>
      <c r="BD34">
        <f t="shared" si="39"/>
        <v>0.13520408163265307</v>
      </c>
      <c r="BE34">
        <f t="shared" si="40"/>
        <v>0.11607142857142858</v>
      </c>
      <c r="BF34">
        <f t="shared" si="41"/>
        <v>8.9285714285714274E-2</v>
      </c>
      <c r="BG34">
        <f t="shared" si="42"/>
        <v>4.9107142857142849E-2</v>
      </c>
      <c r="BH34">
        <f t="shared" si="43"/>
        <v>0</v>
      </c>
      <c r="BI34">
        <f t="shared" si="44"/>
        <v>0</v>
      </c>
      <c r="BJ34">
        <f t="shared" si="45"/>
        <v>0</v>
      </c>
      <c r="BK34">
        <f t="shared" si="46"/>
        <v>0</v>
      </c>
      <c r="BM34">
        <v>25</v>
      </c>
      <c r="BN34">
        <v>0.25</v>
      </c>
      <c r="BO34">
        <f t="shared" si="47"/>
        <v>-0.35044642857142855</v>
      </c>
      <c r="BP34">
        <f t="shared" si="26"/>
        <v>-0.35714285714285715</v>
      </c>
      <c r="BQ34">
        <f t="shared" si="26"/>
        <v>-0.36479591836734693</v>
      </c>
      <c r="BR34">
        <f t="shared" si="26"/>
        <v>-0.37362637362637363</v>
      </c>
      <c r="BS34">
        <f t="shared" si="26"/>
        <v>-0.38392857142857145</v>
      </c>
      <c r="BT34">
        <f t="shared" si="26"/>
        <v>-0.39610389610389612</v>
      </c>
      <c r="BU34">
        <f t="shared" si="26"/>
        <v>-0.41071428571428575</v>
      </c>
      <c r="BV34">
        <f t="shared" si="26"/>
        <v>-0.42857142857142855</v>
      </c>
      <c r="BW34">
        <f t="shared" si="26"/>
        <v>-0.4508928571428571</v>
      </c>
      <c r="BX34">
        <f t="shared" si="26"/>
        <v>-0.47959183673469391</v>
      </c>
      <c r="BY34">
        <f t="shared" si="26"/>
        <v>-0.5178571428571429</v>
      </c>
      <c r="BZ34">
        <f t="shared" si="26"/>
        <v>-0.57142857142857151</v>
      </c>
      <c r="CA34">
        <f t="shared" si="26"/>
        <v>-0.65178571428571419</v>
      </c>
      <c r="CB34">
        <f t="shared" si="26"/>
        <v>-0.75</v>
      </c>
      <c r="CC34">
        <f t="shared" si="26"/>
        <v>-0.75</v>
      </c>
      <c r="CD34">
        <f t="shared" si="26"/>
        <v>-0.75</v>
      </c>
      <c r="CE34">
        <f t="shared" si="26"/>
        <v>-0.75</v>
      </c>
    </row>
    <row r="35" spans="1:83" x14ac:dyDescent="0.25">
      <c r="A35">
        <v>0.3</v>
      </c>
      <c r="B35">
        <f t="shared" si="27"/>
        <v>0.7</v>
      </c>
      <c r="C35">
        <f t="shared" si="28"/>
        <v>0.7</v>
      </c>
      <c r="D35">
        <f t="shared" si="6"/>
        <v>2.9999999999999996</v>
      </c>
      <c r="E35">
        <v>30</v>
      </c>
      <c r="F35">
        <f t="shared" si="48"/>
        <v>0.18749999999999997</v>
      </c>
      <c r="G35">
        <f t="shared" si="7"/>
        <v>0.19999999999999998</v>
      </c>
      <c r="H35">
        <f t="shared" si="7"/>
        <v>0.21428571428571425</v>
      </c>
      <c r="I35">
        <f t="shared" si="7"/>
        <v>0.23076923076923073</v>
      </c>
      <c r="J35">
        <f t="shared" si="7"/>
        <v>0.24999999999999997</v>
      </c>
      <c r="K35">
        <f t="shared" si="7"/>
        <v>0.27272727272727271</v>
      </c>
      <c r="L35">
        <f t="shared" si="7"/>
        <v>0.29999999999999993</v>
      </c>
      <c r="M35">
        <f t="shared" si="7"/>
        <v>0.33333333333333326</v>
      </c>
      <c r="N35">
        <f t="shared" si="7"/>
        <v>0.37499999999999994</v>
      </c>
      <c r="O35">
        <f t="shared" si="7"/>
        <v>0.42857142857142849</v>
      </c>
      <c r="P35">
        <f t="shared" si="7"/>
        <v>0.49999999999999994</v>
      </c>
      <c r="Q35">
        <f t="shared" si="7"/>
        <v>0.59999999999999987</v>
      </c>
      <c r="R35">
        <f t="shared" si="7"/>
        <v>0.74999999999999989</v>
      </c>
      <c r="S35">
        <f t="shared" si="7"/>
        <v>1</v>
      </c>
      <c r="T35">
        <f t="shared" si="7"/>
        <v>1</v>
      </c>
      <c r="U35">
        <f t="shared" si="7"/>
        <v>1</v>
      </c>
      <c r="V35">
        <f t="shared" si="7"/>
        <v>1</v>
      </c>
      <c r="Y35">
        <v>30</v>
      </c>
      <c r="Z35">
        <f t="shared" si="29"/>
        <v>-0.7</v>
      </c>
      <c r="AA35">
        <f t="shared" si="8"/>
        <v>-0.13124999999999998</v>
      </c>
      <c r="AB35">
        <f t="shared" si="9"/>
        <v>-0.13999999999999999</v>
      </c>
      <c r="AC35">
        <f t="shared" si="10"/>
        <v>-0.14999999999999997</v>
      </c>
      <c r="AD35">
        <f t="shared" si="11"/>
        <v>-0.16153846153846149</v>
      </c>
      <c r="AE35">
        <f t="shared" si="12"/>
        <v>-0.17499999999999996</v>
      </c>
      <c r="AF35">
        <f t="shared" si="13"/>
        <v>-0.19090909090909089</v>
      </c>
      <c r="AG35">
        <f t="shared" si="14"/>
        <v>-0.20999999999999994</v>
      </c>
      <c r="AH35">
        <f t="shared" si="15"/>
        <v>-0.23333333333333325</v>
      </c>
      <c r="AI35">
        <f t="shared" si="16"/>
        <v>-0.26249999999999996</v>
      </c>
      <c r="AJ35">
        <f t="shared" si="17"/>
        <v>-0.29999999999999993</v>
      </c>
      <c r="AK35">
        <f t="shared" si="18"/>
        <v>-0.34999999999999992</v>
      </c>
      <c r="AL35">
        <f t="shared" si="19"/>
        <v>-0.41999999999999987</v>
      </c>
      <c r="AM35">
        <f t="shared" si="20"/>
        <v>-0.52499999999999991</v>
      </c>
      <c r="AN35">
        <f t="shared" si="21"/>
        <v>-0.7</v>
      </c>
      <c r="AO35">
        <f t="shared" si="22"/>
        <v>-0.7</v>
      </c>
      <c r="AP35">
        <f t="shared" si="23"/>
        <v>-0.7</v>
      </c>
      <c r="AQ35">
        <f t="shared" si="24"/>
        <v>-0.7</v>
      </c>
      <c r="AR35">
        <v>2.9999999999999996</v>
      </c>
      <c r="AT35">
        <v>0.3</v>
      </c>
      <c r="AU35">
        <f t="shared" si="30"/>
        <v>0.24374999999999999</v>
      </c>
      <c r="AV35">
        <f t="shared" si="31"/>
        <v>0.24</v>
      </c>
      <c r="AW35">
        <f t="shared" si="32"/>
        <v>0.23571428571428574</v>
      </c>
      <c r="AX35">
        <f t="shared" si="33"/>
        <v>0.23076923076923078</v>
      </c>
      <c r="AY35">
        <f t="shared" si="34"/>
        <v>0.22499999999999998</v>
      </c>
      <c r="AZ35">
        <f t="shared" si="35"/>
        <v>0.21818181818181817</v>
      </c>
      <c r="BA35">
        <f t="shared" si="36"/>
        <v>0.21000000000000002</v>
      </c>
      <c r="BB35">
        <f t="shared" si="37"/>
        <v>0.2</v>
      </c>
      <c r="BC35">
        <f t="shared" si="38"/>
        <v>0.1875</v>
      </c>
      <c r="BD35">
        <f t="shared" si="39"/>
        <v>0.17142857142857146</v>
      </c>
      <c r="BE35">
        <f t="shared" si="40"/>
        <v>0.15</v>
      </c>
      <c r="BF35">
        <f t="shared" si="41"/>
        <v>0.12000000000000004</v>
      </c>
      <c r="BG35">
        <f t="shared" si="42"/>
        <v>7.5000000000000025E-2</v>
      </c>
      <c r="BH35">
        <f t="shared" si="43"/>
        <v>0</v>
      </c>
      <c r="BI35">
        <f t="shared" si="44"/>
        <v>0</v>
      </c>
      <c r="BJ35">
        <f t="shared" si="45"/>
        <v>0</v>
      </c>
      <c r="BK35">
        <f t="shared" si="46"/>
        <v>0</v>
      </c>
      <c r="BM35">
        <v>30</v>
      </c>
      <c r="BN35">
        <v>0.3</v>
      </c>
      <c r="BO35">
        <f t="shared" si="47"/>
        <v>-0.375</v>
      </c>
      <c r="BP35">
        <f t="shared" si="26"/>
        <v>-0.38</v>
      </c>
      <c r="BQ35">
        <f t="shared" si="26"/>
        <v>-0.38571428571428568</v>
      </c>
      <c r="BR35">
        <f t="shared" si="26"/>
        <v>-0.39230769230769225</v>
      </c>
      <c r="BS35">
        <f t="shared" si="26"/>
        <v>-0.39999999999999991</v>
      </c>
      <c r="BT35">
        <f t="shared" si="26"/>
        <v>-0.40909090909090906</v>
      </c>
      <c r="BU35">
        <f t="shared" si="26"/>
        <v>-0.41999999999999993</v>
      </c>
      <c r="BV35">
        <f t="shared" si="26"/>
        <v>-0.43333333333333324</v>
      </c>
      <c r="BW35">
        <f t="shared" si="26"/>
        <v>-0.44999999999999996</v>
      </c>
      <c r="BX35">
        <f t="shared" si="26"/>
        <v>-0.47142857142857142</v>
      </c>
      <c r="BY35">
        <f t="shared" si="26"/>
        <v>-0.49999999999999989</v>
      </c>
      <c r="BZ35">
        <f t="shared" si="26"/>
        <v>-0.53999999999999992</v>
      </c>
      <c r="CA35">
        <f t="shared" si="26"/>
        <v>-0.6</v>
      </c>
      <c r="CB35">
        <f t="shared" si="26"/>
        <v>-0.7</v>
      </c>
      <c r="CC35">
        <f t="shared" si="26"/>
        <v>-0.7</v>
      </c>
      <c r="CD35">
        <f t="shared" si="26"/>
        <v>-0.7</v>
      </c>
      <c r="CE35">
        <f t="shared" si="26"/>
        <v>-0.7</v>
      </c>
    </row>
    <row r="36" spans="1:83" x14ac:dyDescent="0.25">
      <c r="A36">
        <v>0.35</v>
      </c>
      <c r="B36">
        <f t="shared" si="27"/>
        <v>0.65</v>
      </c>
      <c r="C36">
        <f t="shared" si="28"/>
        <v>0.65</v>
      </c>
      <c r="D36">
        <f t="shared" si="6"/>
        <v>2.7857142857142856</v>
      </c>
      <c r="E36">
        <v>35</v>
      </c>
      <c r="F36">
        <f t="shared" si="48"/>
        <v>0.17410714285714285</v>
      </c>
      <c r="G36">
        <f t="shared" si="7"/>
        <v>0.18571428571428569</v>
      </c>
      <c r="H36">
        <f t="shared" si="7"/>
        <v>0.19897959183673469</v>
      </c>
      <c r="I36">
        <f t="shared" si="7"/>
        <v>0.21428571428571427</v>
      </c>
      <c r="J36">
        <f t="shared" si="7"/>
        <v>0.23214285714285712</v>
      </c>
      <c r="K36">
        <f t="shared" si="7"/>
        <v>0.25324675324675322</v>
      </c>
      <c r="L36">
        <f t="shared" si="7"/>
        <v>0.27857142857142858</v>
      </c>
      <c r="M36">
        <f t="shared" si="7"/>
        <v>0.30952380952380953</v>
      </c>
      <c r="N36">
        <f t="shared" si="7"/>
        <v>0.3482142857142857</v>
      </c>
      <c r="O36">
        <f t="shared" si="7"/>
        <v>0.39795918367346939</v>
      </c>
      <c r="P36">
        <f t="shared" si="7"/>
        <v>0.46428571428571425</v>
      </c>
      <c r="Q36">
        <f t="shared" si="7"/>
        <v>0.55714285714285716</v>
      </c>
      <c r="R36">
        <f t="shared" si="7"/>
        <v>0.6964285714285714</v>
      </c>
      <c r="S36">
        <f t="shared" si="7"/>
        <v>0.92857142857142849</v>
      </c>
      <c r="T36">
        <f t="shared" si="7"/>
        <v>1</v>
      </c>
      <c r="U36">
        <f t="shared" si="7"/>
        <v>1</v>
      </c>
      <c r="V36">
        <f t="shared" si="7"/>
        <v>1</v>
      </c>
      <c r="Y36">
        <v>35</v>
      </c>
      <c r="Z36">
        <f t="shared" si="29"/>
        <v>-0.65</v>
      </c>
      <c r="AA36">
        <f t="shared" si="8"/>
        <v>-0.11316964285714286</v>
      </c>
      <c r="AB36">
        <f t="shared" si="9"/>
        <v>-0.1207142857142857</v>
      </c>
      <c r="AC36">
        <f t="shared" si="10"/>
        <v>-0.12933673469387755</v>
      </c>
      <c r="AD36">
        <f t="shared" si="11"/>
        <v>-0.13928571428571429</v>
      </c>
      <c r="AE36">
        <f t="shared" si="12"/>
        <v>-0.15089285714285713</v>
      </c>
      <c r="AF36">
        <f t="shared" si="13"/>
        <v>-0.1646103896103896</v>
      </c>
      <c r="AG36">
        <f t="shared" si="14"/>
        <v>-0.18107142857142858</v>
      </c>
      <c r="AH36">
        <f t="shared" si="15"/>
        <v>-0.2011904761904762</v>
      </c>
      <c r="AI36">
        <f t="shared" si="16"/>
        <v>-0.22633928571428572</v>
      </c>
      <c r="AJ36">
        <f t="shared" si="17"/>
        <v>-0.2586734693877551</v>
      </c>
      <c r="AK36">
        <f t="shared" si="18"/>
        <v>-0.30178571428571427</v>
      </c>
      <c r="AL36">
        <f t="shared" si="19"/>
        <v>-0.36214285714285716</v>
      </c>
      <c r="AM36">
        <f t="shared" si="20"/>
        <v>-0.45267857142857143</v>
      </c>
      <c r="AN36">
        <f t="shared" si="21"/>
        <v>-0.60357142857142854</v>
      </c>
      <c r="AO36">
        <f t="shared" si="22"/>
        <v>-0.65</v>
      </c>
      <c r="AP36">
        <f t="shared" si="23"/>
        <v>-0.65</v>
      </c>
      <c r="AQ36">
        <f t="shared" si="24"/>
        <v>-0.65</v>
      </c>
      <c r="AR36">
        <v>2.7857142857142856</v>
      </c>
      <c r="AT36">
        <v>0.35</v>
      </c>
      <c r="AU36">
        <f t="shared" si="30"/>
        <v>0.2890625</v>
      </c>
      <c r="AV36">
        <f t="shared" si="31"/>
        <v>0.28499999999999998</v>
      </c>
      <c r="AW36">
        <f t="shared" si="32"/>
        <v>0.2803571428571428</v>
      </c>
      <c r="AX36">
        <f t="shared" si="33"/>
        <v>0.27499999999999997</v>
      </c>
      <c r="AY36">
        <f t="shared" si="34"/>
        <v>0.26874999999999999</v>
      </c>
      <c r="AZ36">
        <f t="shared" si="35"/>
        <v>0.26136363636363635</v>
      </c>
      <c r="BA36">
        <f t="shared" si="36"/>
        <v>0.2525</v>
      </c>
      <c r="BB36">
        <f t="shared" si="37"/>
        <v>0.24166666666666664</v>
      </c>
      <c r="BC36">
        <f t="shared" si="38"/>
        <v>0.22812499999999999</v>
      </c>
      <c r="BD36">
        <f t="shared" si="39"/>
        <v>0.21071428571428572</v>
      </c>
      <c r="BE36">
        <f t="shared" si="40"/>
        <v>0.18750000000000003</v>
      </c>
      <c r="BF36">
        <f t="shared" si="41"/>
        <v>0.15499999999999997</v>
      </c>
      <c r="BG36">
        <f t="shared" si="42"/>
        <v>0.10625000000000001</v>
      </c>
      <c r="BH36">
        <f t="shared" si="43"/>
        <v>2.5000000000000026E-2</v>
      </c>
      <c r="BI36">
        <f t="shared" si="44"/>
        <v>0</v>
      </c>
      <c r="BJ36">
        <f t="shared" si="45"/>
        <v>0</v>
      </c>
      <c r="BK36">
        <f t="shared" si="46"/>
        <v>0</v>
      </c>
      <c r="BM36">
        <v>35</v>
      </c>
      <c r="BN36">
        <v>0.35</v>
      </c>
      <c r="BO36">
        <f t="shared" si="47"/>
        <v>-0.40223214285714287</v>
      </c>
      <c r="BP36">
        <f t="shared" si="26"/>
        <v>-0.40571428571428569</v>
      </c>
      <c r="BQ36">
        <f t="shared" si="26"/>
        <v>-0.40969387755102038</v>
      </c>
      <c r="BR36">
        <f t="shared" si="26"/>
        <v>-0.41428571428571426</v>
      </c>
      <c r="BS36">
        <f t="shared" si="26"/>
        <v>-0.4196428571428571</v>
      </c>
      <c r="BT36">
        <f t="shared" si="26"/>
        <v>-0.42597402597402595</v>
      </c>
      <c r="BU36">
        <f t="shared" si="26"/>
        <v>-0.43357142857142861</v>
      </c>
      <c r="BV36">
        <f t="shared" si="26"/>
        <v>-0.44285714285714284</v>
      </c>
      <c r="BW36">
        <f t="shared" si="26"/>
        <v>-0.45446428571428571</v>
      </c>
      <c r="BX36">
        <f t="shared" si="26"/>
        <v>-0.46938775510204078</v>
      </c>
      <c r="BY36">
        <f t="shared" si="26"/>
        <v>-0.48928571428571432</v>
      </c>
      <c r="BZ36">
        <f t="shared" si="26"/>
        <v>-0.51714285714285713</v>
      </c>
      <c r="CA36">
        <f t="shared" si="26"/>
        <v>-0.55892857142857144</v>
      </c>
      <c r="CB36">
        <f t="shared" si="26"/>
        <v>-0.62857142857142856</v>
      </c>
      <c r="CC36">
        <f t="shared" si="26"/>
        <v>-0.65</v>
      </c>
      <c r="CD36">
        <f t="shared" si="26"/>
        <v>-0.65</v>
      </c>
      <c r="CE36">
        <f t="shared" si="26"/>
        <v>-0.65</v>
      </c>
    </row>
    <row r="37" spans="1:83" x14ac:dyDescent="0.25">
      <c r="A37">
        <v>0.4</v>
      </c>
      <c r="B37">
        <f t="shared" si="27"/>
        <v>0.6</v>
      </c>
      <c r="C37">
        <f t="shared" si="28"/>
        <v>0.6</v>
      </c>
      <c r="D37">
        <f t="shared" si="6"/>
        <v>2.5714285714285712</v>
      </c>
      <c r="E37">
        <v>40</v>
      </c>
      <c r="F37">
        <f t="shared" si="48"/>
        <v>0.1607142857142857</v>
      </c>
      <c r="G37">
        <f t="shared" si="7"/>
        <v>0.1714285714285714</v>
      </c>
      <c r="H37">
        <f t="shared" si="7"/>
        <v>0.18367346938775508</v>
      </c>
      <c r="I37">
        <f t="shared" si="7"/>
        <v>0.19780219780219779</v>
      </c>
      <c r="J37">
        <f t="shared" si="7"/>
        <v>0.21428571428571427</v>
      </c>
      <c r="K37">
        <f t="shared" si="7"/>
        <v>0.23376623376623373</v>
      </c>
      <c r="L37">
        <f t="shared" si="7"/>
        <v>0.25714285714285712</v>
      </c>
      <c r="M37">
        <f t="shared" si="7"/>
        <v>0.2857142857142857</v>
      </c>
      <c r="N37">
        <f t="shared" si="7"/>
        <v>0.3214285714285714</v>
      </c>
      <c r="O37">
        <f t="shared" si="7"/>
        <v>0.36734693877551017</v>
      </c>
      <c r="P37">
        <f t="shared" si="7"/>
        <v>0.42857142857142855</v>
      </c>
      <c r="Q37">
        <f t="shared" si="7"/>
        <v>0.51428571428571423</v>
      </c>
      <c r="R37">
        <f t="shared" si="7"/>
        <v>0.64285714285714279</v>
      </c>
      <c r="S37">
        <f t="shared" si="7"/>
        <v>0.8571428571428571</v>
      </c>
      <c r="T37">
        <f t="shared" si="7"/>
        <v>1</v>
      </c>
      <c r="U37">
        <f t="shared" si="7"/>
        <v>1</v>
      </c>
      <c r="V37">
        <f t="shared" si="7"/>
        <v>1</v>
      </c>
      <c r="Y37">
        <v>40</v>
      </c>
      <c r="Z37">
        <f t="shared" si="29"/>
        <v>-0.6</v>
      </c>
      <c r="AA37">
        <f t="shared" si="8"/>
        <v>-9.6428571428571419E-2</v>
      </c>
      <c r="AB37">
        <f t="shared" si="9"/>
        <v>-0.10285714285714284</v>
      </c>
      <c r="AC37">
        <f t="shared" si="10"/>
        <v>-0.11020408163265305</v>
      </c>
      <c r="AD37">
        <f t="shared" si="11"/>
        <v>-0.11868131868131868</v>
      </c>
      <c r="AE37">
        <f t="shared" si="12"/>
        <v>-0.12857142857142856</v>
      </c>
      <c r="AF37">
        <f t="shared" si="13"/>
        <v>-0.14025974025974022</v>
      </c>
      <c r="AG37">
        <f t="shared" si="14"/>
        <v>-0.15428571428571428</v>
      </c>
      <c r="AH37">
        <f t="shared" si="15"/>
        <v>-0.1714285714285714</v>
      </c>
      <c r="AI37">
        <f t="shared" si="16"/>
        <v>-0.19285714285714284</v>
      </c>
      <c r="AJ37">
        <f t="shared" si="17"/>
        <v>-0.2204081632653061</v>
      </c>
      <c r="AK37">
        <f t="shared" si="18"/>
        <v>-0.25714285714285712</v>
      </c>
      <c r="AL37">
        <f t="shared" si="19"/>
        <v>-0.30857142857142855</v>
      </c>
      <c r="AM37">
        <f t="shared" si="20"/>
        <v>-0.38571428571428568</v>
      </c>
      <c r="AN37">
        <f t="shared" si="21"/>
        <v>-0.51428571428571423</v>
      </c>
      <c r="AO37">
        <f t="shared" si="22"/>
        <v>-0.6</v>
      </c>
      <c r="AP37">
        <f t="shared" si="23"/>
        <v>-0.6</v>
      </c>
      <c r="AQ37">
        <f t="shared" si="24"/>
        <v>-0.6</v>
      </c>
      <c r="AR37">
        <v>2.5714285714285712</v>
      </c>
      <c r="AT37">
        <v>0.4</v>
      </c>
      <c r="AU37">
        <f t="shared" si="30"/>
        <v>0.33571428571428574</v>
      </c>
      <c r="AV37">
        <f t="shared" si="31"/>
        <v>0.33142857142857146</v>
      </c>
      <c r="AW37">
        <f t="shared" si="32"/>
        <v>0.32653061224489799</v>
      </c>
      <c r="AX37">
        <f t="shared" si="33"/>
        <v>0.3208791208791209</v>
      </c>
      <c r="AY37">
        <f t="shared" si="34"/>
        <v>0.31428571428571428</v>
      </c>
      <c r="AZ37">
        <f t="shared" si="35"/>
        <v>0.30649350649350654</v>
      </c>
      <c r="BA37">
        <f t="shared" si="36"/>
        <v>0.29714285714285715</v>
      </c>
      <c r="BB37">
        <f t="shared" si="37"/>
        <v>0.28571428571428575</v>
      </c>
      <c r="BC37">
        <f t="shared" si="38"/>
        <v>0.27142857142857146</v>
      </c>
      <c r="BD37">
        <f t="shared" si="39"/>
        <v>0.25306122448979596</v>
      </c>
      <c r="BE37">
        <f t="shared" si="40"/>
        <v>0.22857142857142856</v>
      </c>
      <c r="BF37">
        <f t="shared" si="41"/>
        <v>0.19428571428571431</v>
      </c>
      <c r="BG37">
        <f t="shared" si="42"/>
        <v>0.14285714285714288</v>
      </c>
      <c r="BH37">
        <f t="shared" si="43"/>
        <v>5.7142857142857162E-2</v>
      </c>
      <c r="BI37">
        <f t="shared" si="44"/>
        <v>0</v>
      </c>
      <c r="BJ37">
        <f t="shared" si="45"/>
        <v>0</v>
      </c>
      <c r="BK37">
        <f t="shared" si="46"/>
        <v>0</v>
      </c>
      <c r="BM37">
        <v>40</v>
      </c>
      <c r="BN37">
        <v>0.4</v>
      </c>
      <c r="BO37">
        <f t="shared" si="47"/>
        <v>-0.43214285714285716</v>
      </c>
      <c r="BP37">
        <f t="shared" si="26"/>
        <v>-0.43428571428571427</v>
      </c>
      <c r="BQ37">
        <f t="shared" si="26"/>
        <v>-0.43673469387755104</v>
      </c>
      <c r="BR37">
        <f t="shared" si="26"/>
        <v>-0.43956043956043955</v>
      </c>
      <c r="BS37">
        <f t="shared" si="26"/>
        <v>-0.44285714285714284</v>
      </c>
      <c r="BT37">
        <f t="shared" si="26"/>
        <v>-0.44675324675324679</v>
      </c>
      <c r="BU37">
        <f t="shared" si="26"/>
        <v>-0.4514285714285714</v>
      </c>
      <c r="BV37">
        <f t="shared" si="26"/>
        <v>-0.45714285714285718</v>
      </c>
      <c r="BW37">
        <f t="shared" si="26"/>
        <v>-0.4642857142857143</v>
      </c>
      <c r="BX37">
        <f t="shared" si="26"/>
        <v>-0.47346938775510206</v>
      </c>
      <c r="BY37">
        <f t="shared" si="26"/>
        <v>-0.48571428571428565</v>
      </c>
      <c r="BZ37">
        <f t="shared" si="26"/>
        <v>-0.50285714285714289</v>
      </c>
      <c r="CA37">
        <f t="shared" si="26"/>
        <v>-0.52857142857142858</v>
      </c>
      <c r="CB37">
        <f t="shared" si="26"/>
        <v>-0.5714285714285714</v>
      </c>
      <c r="CC37">
        <f t="shared" si="26"/>
        <v>-0.6</v>
      </c>
      <c r="CD37">
        <f t="shared" si="26"/>
        <v>-0.6</v>
      </c>
      <c r="CE37">
        <f t="shared" si="26"/>
        <v>-0.6</v>
      </c>
    </row>
    <row r="38" spans="1:83" x14ac:dyDescent="0.25">
      <c r="A38">
        <v>0.45</v>
      </c>
      <c r="B38">
        <f t="shared" si="27"/>
        <v>0.55000000000000004</v>
      </c>
      <c r="C38">
        <f t="shared" si="28"/>
        <v>0.55000000000000004</v>
      </c>
      <c r="D38">
        <f t="shared" si="6"/>
        <v>2.3571428571428572</v>
      </c>
      <c r="E38">
        <v>45</v>
      </c>
      <c r="F38">
        <f t="shared" si="48"/>
        <v>0.14732142857142858</v>
      </c>
      <c r="G38">
        <f t="shared" si="7"/>
        <v>0.15714285714285714</v>
      </c>
      <c r="H38">
        <f t="shared" si="7"/>
        <v>0.1683673469387755</v>
      </c>
      <c r="I38">
        <f t="shared" si="7"/>
        <v>0.18131868131868131</v>
      </c>
      <c r="J38">
        <f t="shared" si="7"/>
        <v>0.19642857142857142</v>
      </c>
      <c r="K38">
        <f t="shared" si="7"/>
        <v>0.2142857142857143</v>
      </c>
      <c r="L38">
        <f t="shared" si="7"/>
        <v>0.23571428571428571</v>
      </c>
      <c r="M38">
        <f t="shared" si="7"/>
        <v>0.26190476190476192</v>
      </c>
      <c r="N38">
        <f t="shared" si="7"/>
        <v>0.29464285714285715</v>
      </c>
      <c r="O38">
        <f t="shared" si="7"/>
        <v>0.33673469387755101</v>
      </c>
      <c r="P38">
        <f t="shared" si="7"/>
        <v>0.39285714285714285</v>
      </c>
      <c r="Q38">
        <f t="shared" si="7"/>
        <v>0.47142857142857142</v>
      </c>
      <c r="R38">
        <f t="shared" si="7"/>
        <v>0.5892857142857143</v>
      </c>
      <c r="S38">
        <f t="shared" si="7"/>
        <v>0.7857142857142857</v>
      </c>
      <c r="T38">
        <f t="shared" si="7"/>
        <v>1</v>
      </c>
      <c r="U38">
        <f t="shared" si="7"/>
        <v>1</v>
      </c>
      <c r="V38">
        <f t="shared" si="7"/>
        <v>1</v>
      </c>
      <c r="Y38">
        <v>45</v>
      </c>
      <c r="Z38">
        <f t="shared" si="29"/>
        <v>-0.55000000000000004</v>
      </c>
      <c r="AA38">
        <f t="shared" si="8"/>
        <v>-8.1026785714285718E-2</v>
      </c>
      <c r="AB38">
        <f t="shared" si="9"/>
        <v>-8.6428571428571438E-2</v>
      </c>
      <c r="AC38">
        <f t="shared" si="10"/>
        <v>-9.2602040816326531E-2</v>
      </c>
      <c r="AD38">
        <f t="shared" si="11"/>
        <v>-9.9725274725274732E-2</v>
      </c>
      <c r="AE38">
        <f t="shared" si="12"/>
        <v>-0.10803571428571429</v>
      </c>
      <c r="AF38">
        <f t="shared" si="13"/>
        <v>-0.11785714285714287</v>
      </c>
      <c r="AG38">
        <f t="shared" si="14"/>
        <v>-0.12964285714285714</v>
      </c>
      <c r="AH38">
        <f t="shared" si="15"/>
        <v>-0.14404761904761906</v>
      </c>
      <c r="AI38">
        <f t="shared" si="16"/>
        <v>-0.16205357142857144</v>
      </c>
      <c r="AJ38">
        <f t="shared" si="17"/>
        <v>-0.18520408163265306</v>
      </c>
      <c r="AK38">
        <f t="shared" si="18"/>
        <v>-0.21607142857142858</v>
      </c>
      <c r="AL38">
        <f t="shared" si="19"/>
        <v>-0.25928571428571429</v>
      </c>
      <c r="AM38">
        <f t="shared" si="20"/>
        <v>-0.32410714285714287</v>
      </c>
      <c r="AN38">
        <f t="shared" si="21"/>
        <v>-0.43214285714285716</v>
      </c>
      <c r="AO38">
        <f t="shared" si="22"/>
        <v>-0.55000000000000004</v>
      </c>
      <c r="AP38">
        <f t="shared" si="23"/>
        <v>-0.55000000000000004</v>
      </c>
      <c r="AQ38">
        <f t="shared" si="24"/>
        <v>-0.55000000000000004</v>
      </c>
      <c r="AR38">
        <v>2.3571428571428572</v>
      </c>
      <c r="AT38">
        <v>0.45</v>
      </c>
      <c r="AU38">
        <f t="shared" si="30"/>
        <v>0.38370535714285714</v>
      </c>
      <c r="AV38">
        <f t="shared" si="31"/>
        <v>0.37928571428571428</v>
      </c>
      <c r="AW38">
        <f t="shared" si="32"/>
        <v>0.37423469387755104</v>
      </c>
      <c r="AX38">
        <f t="shared" si="33"/>
        <v>0.36840659340659343</v>
      </c>
      <c r="AY38">
        <f t="shared" si="34"/>
        <v>0.3616071428571429</v>
      </c>
      <c r="AZ38">
        <f t="shared" si="35"/>
        <v>0.35357142857142859</v>
      </c>
      <c r="BA38">
        <f t="shared" si="36"/>
        <v>0.34392857142857142</v>
      </c>
      <c r="BB38">
        <f t="shared" si="37"/>
        <v>0.33214285714285718</v>
      </c>
      <c r="BC38">
        <f t="shared" si="38"/>
        <v>0.31741071428571427</v>
      </c>
      <c r="BD38">
        <f t="shared" si="39"/>
        <v>0.29846938775510201</v>
      </c>
      <c r="BE38">
        <f t="shared" si="40"/>
        <v>0.27321428571428574</v>
      </c>
      <c r="BF38">
        <f t="shared" si="41"/>
        <v>0.23785714285714288</v>
      </c>
      <c r="BG38">
        <f t="shared" si="42"/>
        <v>0.18482142857142858</v>
      </c>
      <c r="BH38">
        <f t="shared" si="43"/>
        <v>9.6428571428571433E-2</v>
      </c>
      <c r="BI38">
        <f t="shared" si="44"/>
        <v>0</v>
      </c>
      <c r="BJ38">
        <f t="shared" si="45"/>
        <v>0</v>
      </c>
      <c r="BK38">
        <f t="shared" si="46"/>
        <v>0</v>
      </c>
      <c r="BM38">
        <v>45</v>
      </c>
      <c r="BN38">
        <v>0.45</v>
      </c>
      <c r="BO38">
        <f t="shared" si="47"/>
        <v>-0.46473214285714287</v>
      </c>
      <c r="BP38">
        <f t="shared" si="26"/>
        <v>-0.46571428571428575</v>
      </c>
      <c r="BQ38">
        <f t="shared" si="26"/>
        <v>-0.46683673469387754</v>
      </c>
      <c r="BR38">
        <f t="shared" si="26"/>
        <v>-0.46813186813186813</v>
      </c>
      <c r="BS38">
        <f t="shared" si="26"/>
        <v>-0.4696428571428572</v>
      </c>
      <c r="BT38">
        <f t="shared" si="26"/>
        <v>-0.47142857142857147</v>
      </c>
      <c r="BU38">
        <f t="shared" si="26"/>
        <v>-0.47357142857142853</v>
      </c>
      <c r="BV38">
        <f t="shared" si="26"/>
        <v>-0.47619047619047628</v>
      </c>
      <c r="BW38">
        <f t="shared" si="26"/>
        <v>-0.47946428571428568</v>
      </c>
      <c r="BX38">
        <f t="shared" si="26"/>
        <v>-0.48367346938775507</v>
      </c>
      <c r="BY38">
        <f t="shared" si="26"/>
        <v>-0.48928571428571432</v>
      </c>
      <c r="BZ38">
        <f t="shared" si="26"/>
        <v>-0.49714285714285716</v>
      </c>
      <c r="CA38">
        <f t="shared" si="26"/>
        <v>-0.5089285714285714</v>
      </c>
      <c r="CB38">
        <f t="shared" si="26"/>
        <v>-0.52857142857142858</v>
      </c>
      <c r="CC38">
        <f t="shared" si="26"/>
        <v>-0.55000000000000004</v>
      </c>
      <c r="CD38">
        <f t="shared" si="26"/>
        <v>-0.55000000000000004</v>
      </c>
      <c r="CE38">
        <f t="shared" si="26"/>
        <v>-0.55000000000000004</v>
      </c>
    </row>
    <row r="39" spans="1:83" x14ac:dyDescent="0.25">
      <c r="A39">
        <v>0.5</v>
      </c>
      <c r="B39">
        <f t="shared" si="27"/>
        <v>0.5</v>
      </c>
      <c r="C39">
        <f t="shared" si="28"/>
        <v>0.5</v>
      </c>
      <c r="D39">
        <f t="shared" si="6"/>
        <v>2.1428571428571428</v>
      </c>
      <c r="E39">
        <v>50</v>
      </c>
      <c r="F39">
        <f t="shared" si="48"/>
        <v>0.13392857142857142</v>
      </c>
      <c r="G39">
        <f t="shared" si="7"/>
        <v>0.14285714285714285</v>
      </c>
      <c r="H39">
        <f t="shared" si="7"/>
        <v>0.15306122448979592</v>
      </c>
      <c r="I39">
        <f t="shared" si="7"/>
        <v>0.16483516483516483</v>
      </c>
      <c r="J39">
        <f t="shared" si="7"/>
        <v>0.17857142857142858</v>
      </c>
      <c r="K39">
        <f t="shared" si="7"/>
        <v>0.19480519480519479</v>
      </c>
      <c r="L39">
        <f t="shared" si="7"/>
        <v>0.21428571428571427</v>
      </c>
      <c r="M39">
        <f t="shared" si="7"/>
        <v>0.23809523809523808</v>
      </c>
      <c r="N39">
        <f t="shared" si="7"/>
        <v>0.26785714285714285</v>
      </c>
      <c r="O39">
        <f t="shared" si="7"/>
        <v>0.30612244897959184</v>
      </c>
      <c r="P39">
        <f t="shared" si="7"/>
        <v>0.35714285714285715</v>
      </c>
      <c r="Q39">
        <f t="shared" si="7"/>
        <v>0.42857142857142855</v>
      </c>
      <c r="R39">
        <f t="shared" si="7"/>
        <v>0.5357142857142857</v>
      </c>
      <c r="S39">
        <f t="shared" si="7"/>
        <v>0.7142857142857143</v>
      </c>
      <c r="T39">
        <f t="shared" si="7"/>
        <v>1</v>
      </c>
      <c r="U39">
        <f t="shared" si="7"/>
        <v>1</v>
      </c>
      <c r="V39">
        <f t="shared" si="7"/>
        <v>1</v>
      </c>
      <c r="Y39">
        <v>50</v>
      </c>
      <c r="Z39">
        <f t="shared" si="29"/>
        <v>-0.5</v>
      </c>
      <c r="AA39">
        <f t="shared" si="8"/>
        <v>-6.6964285714285712E-2</v>
      </c>
      <c r="AB39">
        <f t="shared" si="9"/>
        <v>-7.1428571428571425E-2</v>
      </c>
      <c r="AC39">
        <f t="shared" si="10"/>
        <v>-7.6530612244897961E-2</v>
      </c>
      <c r="AD39">
        <f t="shared" si="11"/>
        <v>-8.2417582417582416E-2</v>
      </c>
      <c r="AE39">
        <f t="shared" si="12"/>
        <v>-8.9285714285714288E-2</v>
      </c>
      <c r="AF39">
        <f t="shared" si="13"/>
        <v>-9.7402597402597393E-2</v>
      </c>
      <c r="AG39">
        <f t="shared" si="14"/>
        <v>-0.10714285714285714</v>
      </c>
      <c r="AH39">
        <f t="shared" si="15"/>
        <v>-0.11904761904761904</v>
      </c>
      <c r="AI39">
        <f t="shared" si="16"/>
        <v>-0.13392857142857142</v>
      </c>
      <c r="AJ39">
        <f t="shared" si="17"/>
        <v>-0.15306122448979592</v>
      </c>
      <c r="AK39">
        <f t="shared" si="18"/>
        <v>-0.17857142857142858</v>
      </c>
      <c r="AL39">
        <f t="shared" si="19"/>
        <v>-0.21428571428571427</v>
      </c>
      <c r="AM39">
        <f t="shared" si="20"/>
        <v>-0.26785714285714285</v>
      </c>
      <c r="AN39">
        <f t="shared" si="21"/>
        <v>-0.35714285714285715</v>
      </c>
      <c r="AO39">
        <f t="shared" si="22"/>
        <v>-0.5</v>
      </c>
      <c r="AP39">
        <f t="shared" si="23"/>
        <v>-0.5</v>
      </c>
      <c r="AQ39">
        <f t="shared" si="24"/>
        <v>-0.5</v>
      </c>
      <c r="AR39">
        <v>2.1428571428571428</v>
      </c>
      <c r="AT39">
        <v>0.5</v>
      </c>
      <c r="AU39">
        <f t="shared" si="30"/>
        <v>0.4330357142857143</v>
      </c>
      <c r="AV39">
        <f t="shared" si="31"/>
        <v>0.4285714285714286</v>
      </c>
      <c r="AW39">
        <f t="shared" si="32"/>
        <v>0.42346938775510201</v>
      </c>
      <c r="AX39">
        <f t="shared" si="33"/>
        <v>0.4175824175824176</v>
      </c>
      <c r="AY39">
        <f t="shared" si="34"/>
        <v>0.4107142857142857</v>
      </c>
      <c r="AZ39">
        <f t="shared" si="35"/>
        <v>0.40259740259740262</v>
      </c>
      <c r="BA39">
        <f t="shared" si="36"/>
        <v>0.39285714285714285</v>
      </c>
      <c r="BB39">
        <f t="shared" si="37"/>
        <v>0.38095238095238093</v>
      </c>
      <c r="BC39">
        <f t="shared" si="38"/>
        <v>0.3660714285714286</v>
      </c>
      <c r="BD39">
        <f t="shared" si="39"/>
        <v>0.34693877551020408</v>
      </c>
      <c r="BE39">
        <f t="shared" si="40"/>
        <v>0.3214285714285714</v>
      </c>
      <c r="BF39">
        <f t="shared" si="41"/>
        <v>0.2857142857142857</v>
      </c>
      <c r="BG39">
        <f t="shared" si="42"/>
        <v>0.23214285714285715</v>
      </c>
      <c r="BH39">
        <f t="shared" si="43"/>
        <v>0.14285714285714285</v>
      </c>
      <c r="BI39">
        <f t="shared" si="44"/>
        <v>0</v>
      </c>
      <c r="BJ39">
        <f t="shared" si="45"/>
        <v>0</v>
      </c>
      <c r="BK39">
        <f t="shared" si="46"/>
        <v>0</v>
      </c>
      <c r="BM39">
        <v>50</v>
      </c>
      <c r="BN39">
        <v>0.5</v>
      </c>
      <c r="BO39">
        <f t="shared" si="47"/>
        <v>-0.5</v>
      </c>
      <c r="BP39">
        <f t="shared" si="26"/>
        <v>-0.5</v>
      </c>
      <c r="BQ39">
        <f t="shared" si="26"/>
        <v>-0.5</v>
      </c>
      <c r="BR39">
        <f t="shared" si="26"/>
        <v>-0.5</v>
      </c>
      <c r="BS39">
        <f t="shared" si="26"/>
        <v>-0.5</v>
      </c>
      <c r="BT39">
        <f t="shared" si="26"/>
        <v>-0.5</v>
      </c>
      <c r="BU39">
        <f t="shared" si="26"/>
        <v>-0.5</v>
      </c>
      <c r="BV39">
        <f t="shared" si="26"/>
        <v>-0.5</v>
      </c>
      <c r="BW39">
        <f t="shared" si="26"/>
        <v>-0.5</v>
      </c>
      <c r="BX39">
        <f t="shared" si="26"/>
        <v>-0.5</v>
      </c>
      <c r="BY39">
        <f t="shared" si="26"/>
        <v>-0.5</v>
      </c>
      <c r="BZ39">
        <f t="shared" si="26"/>
        <v>-0.5</v>
      </c>
      <c r="CA39">
        <f t="shared" si="26"/>
        <v>-0.5</v>
      </c>
      <c r="CB39">
        <f t="shared" si="26"/>
        <v>-0.5</v>
      </c>
      <c r="CC39">
        <f t="shared" si="26"/>
        <v>-0.5</v>
      </c>
      <c r="CD39">
        <f t="shared" si="26"/>
        <v>-0.5</v>
      </c>
      <c r="CE39">
        <f t="shared" si="26"/>
        <v>-0.5</v>
      </c>
    </row>
    <row r="40" spans="1:83" x14ac:dyDescent="0.25">
      <c r="A40">
        <v>0.55000000000000004</v>
      </c>
      <c r="B40">
        <f t="shared" si="27"/>
        <v>0.44999999999999996</v>
      </c>
      <c r="C40">
        <f t="shared" si="28"/>
        <v>0.44999999999999996</v>
      </c>
      <c r="D40">
        <f t="shared" si="6"/>
        <v>1.9285714285714284</v>
      </c>
      <c r="E40">
        <v>55</v>
      </c>
      <c r="F40">
        <f t="shared" si="48"/>
        <v>0.12053571428571427</v>
      </c>
      <c r="G40">
        <f t="shared" si="7"/>
        <v>0.12857142857142856</v>
      </c>
      <c r="H40">
        <f t="shared" si="7"/>
        <v>0.13775510204081631</v>
      </c>
      <c r="I40">
        <f t="shared" si="7"/>
        <v>0.14835164835164832</v>
      </c>
      <c r="J40">
        <f t="shared" si="7"/>
        <v>0.1607142857142857</v>
      </c>
      <c r="K40">
        <f t="shared" si="7"/>
        <v>0.1753246753246753</v>
      </c>
      <c r="L40">
        <f t="shared" si="7"/>
        <v>0.19285714285714284</v>
      </c>
      <c r="M40">
        <f t="shared" si="7"/>
        <v>0.21428571428571427</v>
      </c>
      <c r="N40">
        <f t="shared" si="7"/>
        <v>0.24107142857142855</v>
      </c>
      <c r="O40">
        <f t="shared" si="7"/>
        <v>0.27551020408163263</v>
      </c>
      <c r="P40">
        <f t="shared" si="7"/>
        <v>0.3214285714285714</v>
      </c>
      <c r="Q40">
        <f t="shared" si="7"/>
        <v>0.38571428571428568</v>
      </c>
      <c r="R40">
        <f t="shared" si="7"/>
        <v>0.4821428571428571</v>
      </c>
      <c r="S40">
        <f t="shared" si="7"/>
        <v>0.64285714285714279</v>
      </c>
      <c r="T40">
        <f t="shared" si="7"/>
        <v>0.96428571428571419</v>
      </c>
      <c r="U40">
        <f t="shared" si="7"/>
        <v>1</v>
      </c>
      <c r="V40">
        <f t="shared" si="7"/>
        <v>1</v>
      </c>
      <c r="Y40">
        <v>55</v>
      </c>
      <c r="Z40">
        <f t="shared" si="29"/>
        <v>-0.44999999999999996</v>
      </c>
      <c r="AA40">
        <f t="shared" si="8"/>
        <v>-5.4241071428571416E-2</v>
      </c>
      <c r="AB40">
        <f t="shared" si="9"/>
        <v>-5.7857142857142843E-2</v>
      </c>
      <c r="AC40">
        <f t="shared" si="10"/>
        <v>-6.1989795918367334E-2</v>
      </c>
      <c r="AD40">
        <f t="shared" si="11"/>
        <v>-6.6758241758241743E-2</v>
      </c>
      <c r="AE40">
        <f t="shared" si="12"/>
        <v>-7.232142857142855E-2</v>
      </c>
      <c r="AF40">
        <f t="shared" si="13"/>
        <v>-7.8896103896103881E-2</v>
      </c>
      <c r="AG40">
        <f t="shared" si="14"/>
        <v>-8.6785714285714272E-2</v>
      </c>
      <c r="AH40">
        <f t="shared" si="15"/>
        <v>-9.6428571428571419E-2</v>
      </c>
      <c r="AI40">
        <f t="shared" si="16"/>
        <v>-0.10848214285714283</v>
      </c>
      <c r="AJ40">
        <f t="shared" si="17"/>
        <v>-0.12397959183673467</v>
      </c>
      <c r="AK40">
        <f t="shared" si="18"/>
        <v>-0.1446428571428571</v>
      </c>
      <c r="AL40">
        <f t="shared" si="19"/>
        <v>-0.17357142857142854</v>
      </c>
      <c r="AM40">
        <f t="shared" si="20"/>
        <v>-0.21696428571428567</v>
      </c>
      <c r="AN40">
        <f t="shared" si="21"/>
        <v>-0.2892857142857142</v>
      </c>
      <c r="AO40">
        <f t="shared" si="22"/>
        <v>-0.43392857142857133</v>
      </c>
      <c r="AP40">
        <f t="shared" si="23"/>
        <v>-0.44999999999999996</v>
      </c>
      <c r="AQ40">
        <f t="shared" si="24"/>
        <v>-0.44999999999999996</v>
      </c>
      <c r="AR40">
        <v>1.9285714285714284</v>
      </c>
      <c r="AT40">
        <v>0.55000000000000004</v>
      </c>
      <c r="AU40">
        <f t="shared" si="30"/>
        <v>0.48370535714285717</v>
      </c>
      <c r="AV40">
        <f t="shared" si="31"/>
        <v>0.47928571428571431</v>
      </c>
      <c r="AW40">
        <f t="shared" si="32"/>
        <v>0.47423469387755107</v>
      </c>
      <c r="AX40">
        <f t="shared" si="33"/>
        <v>0.46840659340659346</v>
      </c>
      <c r="AY40">
        <f t="shared" si="34"/>
        <v>0.46160714285714288</v>
      </c>
      <c r="AZ40">
        <f t="shared" si="35"/>
        <v>0.45357142857142863</v>
      </c>
      <c r="BA40">
        <f t="shared" si="36"/>
        <v>0.44392857142857145</v>
      </c>
      <c r="BB40">
        <f t="shared" si="37"/>
        <v>0.43214285714285716</v>
      </c>
      <c r="BC40">
        <f t="shared" si="38"/>
        <v>0.4174107142857143</v>
      </c>
      <c r="BD40">
        <f t="shared" si="39"/>
        <v>0.3984693877551021</v>
      </c>
      <c r="BE40">
        <f t="shared" si="40"/>
        <v>0.37321428571428578</v>
      </c>
      <c r="BF40">
        <f t="shared" si="41"/>
        <v>0.33785714285714291</v>
      </c>
      <c r="BG40">
        <f t="shared" si="42"/>
        <v>0.28482142857142861</v>
      </c>
      <c r="BH40">
        <f t="shared" si="43"/>
        <v>0.19642857142857148</v>
      </c>
      <c r="BI40">
        <f t="shared" si="44"/>
        <v>1.9642857142857198E-2</v>
      </c>
      <c r="BJ40">
        <f t="shared" si="45"/>
        <v>0</v>
      </c>
      <c r="BK40">
        <f t="shared" si="46"/>
        <v>0</v>
      </c>
      <c r="BM40">
        <v>55</v>
      </c>
      <c r="BN40">
        <v>0.55000000000000004</v>
      </c>
      <c r="BO40">
        <f t="shared" si="47"/>
        <v>-0.5379464285714286</v>
      </c>
      <c r="BP40">
        <f t="shared" si="26"/>
        <v>-0.53714285714285714</v>
      </c>
      <c r="BQ40">
        <f t="shared" si="26"/>
        <v>-0.53622448979591841</v>
      </c>
      <c r="BR40">
        <f t="shared" si="26"/>
        <v>-0.53516483516483526</v>
      </c>
      <c r="BS40">
        <f t="shared" si="26"/>
        <v>-0.53392857142857142</v>
      </c>
      <c r="BT40">
        <f t="shared" si="26"/>
        <v>-0.53246753246753253</v>
      </c>
      <c r="BU40">
        <f t="shared" si="26"/>
        <v>-0.53071428571428569</v>
      </c>
      <c r="BV40">
        <f t="shared" si="26"/>
        <v>-0.52857142857142858</v>
      </c>
      <c r="BW40">
        <f t="shared" si="26"/>
        <v>-0.52589285714285716</v>
      </c>
      <c r="BX40">
        <f t="shared" si="26"/>
        <v>-0.52244897959183678</v>
      </c>
      <c r="BY40">
        <f t="shared" si="26"/>
        <v>-0.5178571428571429</v>
      </c>
      <c r="BZ40">
        <f t="shared" si="26"/>
        <v>-0.51142857142857145</v>
      </c>
      <c r="CA40">
        <f t="shared" si="26"/>
        <v>-0.50178571428571428</v>
      </c>
      <c r="CB40">
        <f t="shared" si="26"/>
        <v>-0.48571428571428565</v>
      </c>
      <c r="CC40">
        <f t="shared" si="26"/>
        <v>-0.45357142857142851</v>
      </c>
      <c r="CD40">
        <f t="shared" si="26"/>
        <v>-0.44999999999999996</v>
      </c>
      <c r="CE40">
        <f t="shared" si="26"/>
        <v>-0.44999999999999996</v>
      </c>
    </row>
    <row r="41" spans="1:83" x14ac:dyDescent="0.25">
      <c r="A41">
        <v>0.6</v>
      </c>
      <c r="B41">
        <f t="shared" si="27"/>
        <v>0.4</v>
      </c>
      <c r="C41">
        <f t="shared" si="28"/>
        <v>0.4</v>
      </c>
      <c r="D41">
        <f t="shared" si="6"/>
        <v>1.7142857142857144</v>
      </c>
      <c r="E41">
        <v>60</v>
      </c>
      <c r="F41">
        <f t="shared" si="48"/>
        <v>0.10714285714285715</v>
      </c>
      <c r="G41">
        <f t="shared" si="7"/>
        <v>0.1142857142857143</v>
      </c>
      <c r="H41">
        <f t="shared" si="7"/>
        <v>0.12244897959183675</v>
      </c>
      <c r="I41">
        <f t="shared" si="7"/>
        <v>0.13186813186813187</v>
      </c>
      <c r="J41">
        <f t="shared" si="7"/>
        <v>0.14285714285714288</v>
      </c>
      <c r="K41">
        <f t="shared" si="7"/>
        <v>0.15584415584415587</v>
      </c>
      <c r="L41">
        <f t="shared" si="7"/>
        <v>0.17142857142857143</v>
      </c>
      <c r="M41">
        <f t="shared" si="7"/>
        <v>0.19047619047619049</v>
      </c>
      <c r="N41">
        <f t="shared" si="7"/>
        <v>0.2142857142857143</v>
      </c>
      <c r="O41">
        <f t="shared" si="7"/>
        <v>0.24489795918367349</v>
      </c>
      <c r="P41">
        <f t="shared" si="7"/>
        <v>0.28571428571428575</v>
      </c>
      <c r="Q41">
        <f t="shared" si="7"/>
        <v>0.34285714285714286</v>
      </c>
      <c r="R41">
        <f t="shared" si="7"/>
        <v>0.4285714285714286</v>
      </c>
      <c r="S41">
        <f t="shared" si="7"/>
        <v>0.57142857142857151</v>
      </c>
      <c r="T41">
        <f t="shared" si="7"/>
        <v>0.85714285714285721</v>
      </c>
      <c r="U41">
        <f t="shared" si="7"/>
        <v>1</v>
      </c>
      <c r="V41">
        <f t="shared" si="7"/>
        <v>1</v>
      </c>
      <c r="Y41">
        <v>60</v>
      </c>
      <c r="Z41">
        <f t="shared" si="29"/>
        <v>-0.4</v>
      </c>
      <c r="AA41">
        <f t="shared" si="8"/>
        <v>-4.2857142857142864E-2</v>
      </c>
      <c r="AB41">
        <f t="shared" si="9"/>
        <v>-4.5714285714285721E-2</v>
      </c>
      <c r="AC41">
        <f t="shared" si="10"/>
        <v>-4.8979591836734698E-2</v>
      </c>
      <c r="AD41">
        <f t="shared" si="11"/>
        <v>-5.2747252747252754E-2</v>
      </c>
      <c r="AE41">
        <f t="shared" si="12"/>
        <v>-5.7142857142857155E-2</v>
      </c>
      <c r="AF41">
        <f t="shared" si="13"/>
        <v>-6.2337662337662351E-2</v>
      </c>
      <c r="AG41">
        <f t="shared" si="14"/>
        <v>-6.8571428571428575E-2</v>
      </c>
      <c r="AH41">
        <f t="shared" si="15"/>
        <v>-7.6190476190476197E-2</v>
      </c>
      <c r="AI41">
        <f t="shared" si="16"/>
        <v>-8.5714285714285729E-2</v>
      </c>
      <c r="AJ41">
        <f t="shared" si="17"/>
        <v>-9.7959183673469397E-2</v>
      </c>
      <c r="AK41">
        <f t="shared" si="18"/>
        <v>-0.11428571428571431</v>
      </c>
      <c r="AL41">
        <f t="shared" si="19"/>
        <v>-0.13714285714285715</v>
      </c>
      <c r="AM41">
        <f t="shared" si="20"/>
        <v>-0.17142857142857146</v>
      </c>
      <c r="AN41">
        <f t="shared" si="21"/>
        <v>-0.22857142857142862</v>
      </c>
      <c r="AO41">
        <f t="shared" si="22"/>
        <v>-0.34285714285714292</v>
      </c>
      <c r="AP41">
        <f t="shared" si="23"/>
        <v>-0.4</v>
      </c>
      <c r="AQ41">
        <f t="shared" si="24"/>
        <v>-0.4</v>
      </c>
      <c r="AR41">
        <v>1.7142857142857144</v>
      </c>
      <c r="AT41">
        <v>0.6</v>
      </c>
      <c r="AU41">
        <f t="shared" si="30"/>
        <v>0.5357142857142857</v>
      </c>
      <c r="AV41">
        <f t="shared" si="31"/>
        <v>0.53142857142857136</v>
      </c>
      <c r="AW41">
        <f t="shared" si="32"/>
        <v>0.52653061224489794</v>
      </c>
      <c r="AX41">
        <f t="shared" si="33"/>
        <v>0.52087912087912092</v>
      </c>
      <c r="AY41">
        <f t="shared" si="34"/>
        <v>0.51428571428571423</v>
      </c>
      <c r="AZ41">
        <f t="shared" si="35"/>
        <v>0.50649350649350644</v>
      </c>
      <c r="BA41">
        <f t="shared" si="36"/>
        <v>0.49714285714285711</v>
      </c>
      <c r="BB41">
        <f t="shared" si="37"/>
        <v>0.48571428571428571</v>
      </c>
      <c r="BC41">
        <f t="shared" si="38"/>
        <v>0.47142857142857142</v>
      </c>
      <c r="BD41">
        <f t="shared" si="39"/>
        <v>0.45306122448979586</v>
      </c>
      <c r="BE41">
        <f t="shared" si="40"/>
        <v>0.42857142857142849</v>
      </c>
      <c r="BF41">
        <f t="shared" si="41"/>
        <v>0.39428571428571429</v>
      </c>
      <c r="BG41">
        <f t="shared" si="42"/>
        <v>0.3428571428571428</v>
      </c>
      <c r="BH41">
        <f t="shared" si="43"/>
        <v>0.25714285714285706</v>
      </c>
      <c r="BI41">
        <f t="shared" si="44"/>
        <v>8.5714285714285673E-2</v>
      </c>
      <c r="BJ41">
        <f t="shared" si="45"/>
        <v>0</v>
      </c>
      <c r="BK41">
        <f t="shared" si="46"/>
        <v>0</v>
      </c>
      <c r="BM41">
        <v>60</v>
      </c>
      <c r="BN41">
        <v>0.6</v>
      </c>
      <c r="BO41">
        <f t="shared" si="47"/>
        <v>-0.57857142857142851</v>
      </c>
      <c r="BP41">
        <f t="shared" si="26"/>
        <v>-0.57714285714285707</v>
      </c>
      <c r="BQ41">
        <f t="shared" si="26"/>
        <v>-0.57551020408163267</v>
      </c>
      <c r="BR41">
        <f t="shared" si="26"/>
        <v>-0.5736263736263737</v>
      </c>
      <c r="BS41">
        <f t="shared" si="26"/>
        <v>-0.5714285714285714</v>
      </c>
      <c r="BT41">
        <f t="shared" si="26"/>
        <v>-0.5688311688311688</v>
      </c>
      <c r="BU41">
        <f t="shared" si="26"/>
        <v>-0.56571428571428573</v>
      </c>
      <c r="BV41">
        <f t="shared" si="26"/>
        <v>-0.56190476190476191</v>
      </c>
      <c r="BW41">
        <f t="shared" si="26"/>
        <v>-0.55714285714285716</v>
      </c>
      <c r="BX41">
        <f t="shared" si="26"/>
        <v>-0.55102040816326525</v>
      </c>
      <c r="BY41">
        <f t="shared" si="26"/>
        <v>-0.54285714285714282</v>
      </c>
      <c r="BZ41">
        <f t="shared" si="26"/>
        <v>-0.53142857142857147</v>
      </c>
      <c r="CA41">
        <f t="shared" si="26"/>
        <v>-0.51428571428571423</v>
      </c>
      <c r="CB41">
        <f t="shared" si="26"/>
        <v>-0.48571428571428565</v>
      </c>
      <c r="CC41">
        <f t="shared" si="26"/>
        <v>-0.4285714285714286</v>
      </c>
      <c r="CD41">
        <f t="shared" si="26"/>
        <v>-0.4</v>
      </c>
      <c r="CE41">
        <f t="shared" si="26"/>
        <v>-0.4</v>
      </c>
    </row>
    <row r="42" spans="1:83" x14ac:dyDescent="0.25">
      <c r="A42">
        <v>0.65</v>
      </c>
      <c r="B42">
        <f t="shared" si="27"/>
        <v>0.35</v>
      </c>
      <c r="C42">
        <f t="shared" si="28"/>
        <v>0.35</v>
      </c>
      <c r="D42">
        <f t="shared" si="6"/>
        <v>1.4999999999999998</v>
      </c>
      <c r="E42">
        <v>65</v>
      </c>
      <c r="F42">
        <f t="shared" si="48"/>
        <v>9.3749999999999986E-2</v>
      </c>
      <c r="G42">
        <f t="shared" si="7"/>
        <v>9.9999999999999992E-2</v>
      </c>
      <c r="H42">
        <f t="shared" si="7"/>
        <v>0.10714285714285712</v>
      </c>
      <c r="I42">
        <f t="shared" si="7"/>
        <v>0.11538461538461536</v>
      </c>
      <c r="J42">
        <f t="shared" si="7"/>
        <v>0.12499999999999999</v>
      </c>
      <c r="K42">
        <f t="shared" si="7"/>
        <v>0.13636363636363635</v>
      </c>
      <c r="L42">
        <f t="shared" si="7"/>
        <v>0.14999999999999997</v>
      </c>
      <c r="M42">
        <f t="shared" si="7"/>
        <v>0.16666666666666663</v>
      </c>
      <c r="N42">
        <f t="shared" si="7"/>
        <v>0.18749999999999997</v>
      </c>
      <c r="O42">
        <f t="shared" si="7"/>
        <v>0.21428571428571425</v>
      </c>
      <c r="P42">
        <f t="shared" si="7"/>
        <v>0.24999999999999997</v>
      </c>
      <c r="Q42">
        <f t="shared" si="7"/>
        <v>0.29999999999999993</v>
      </c>
      <c r="R42">
        <f t="shared" si="7"/>
        <v>0.37499999999999994</v>
      </c>
      <c r="S42">
        <f t="shared" si="7"/>
        <v>0.49999999999999994</v>
      </c>
      <c r="T42">
        <f t="shared" si="7"/>
        <v>0.74999999999999989</v>
      </c>
      <c r="U42">
        <f t="shared" si="7"/>
        <v>1</v>
      </c>
      <c r="V42">
        <f t="shared" si="7"/>
        <v>1</v>
      </c>
      <c r="Y42">
        <v>65</v>
      </c>
      <c r="Z42">
        <f t="shared" si="29"/>
        <v>-0.35</v>
      </c>
      <c r="AA42">
        <f t="shared" si="8"/>
        <v>-3.2812499999999994E-2</v>
      </c>
      <c r="AB42">
        <f t="shared" si="9"/>
        <v>-3.4999999999999996E-2</v>
      </c>
      <c r="AC42">
        <f t="shared" si="10"/>
        <v>-3.7499999999999992E-2</v>
      </c>
      <c r="AD42">
        <f t="shared" si="11"/>
        <v>-4.0384615384615373E-2</v>
      </c>
      <c r="AE42">
        <f t="shared" si="12"/>
        <v>-4.374999999999999E-2</v>
      </c>
      <c r="AF42">
        <f t="shared" si="13"/>
        <v>-4.7727272727272722E-2</v>
      </c>
      <c r="AG42">
        <f t="shared" si="14"/>
        <v>-5.2499999999999984E-2</v>
      </c>
      <c r="AH42">
        <f t="shared" si="15"/>
        <v>-5.8333333333333313E-2</v>
      </c>
      <c r="AI42">
        <f t="shared" si="16"/>
        <v>-6.5624999999999989E-2</v>
      </c>
      <c r="AJ42">
        <f t="shared" si="17"/>
        <v>-7.4999999999999983E-2</v>
      </c>
      <c r="AK42">
        <f t="shared" si="18"/>
        <v>-8.7499999999999981E-2</v>
      </c>
      <c r="AL42">
        <f t="shared" si="19"/>
        <v>-0.10499999999999997</v>
      </c>
      <c r="AM42">
        <f t="shared" si="20"/>
        <v>-0.13124999999999998</v>
      </c>
      <c r="AN42">
        <f t="shared" si="21"/>
        <v>-0.17499999999999996</v>
      </c>
      <c r="AO42">
        <f t="shared" si="22"/>
        <v>-0.26249999999999996</v>
      </c>
      <c r="AP42">
        <f t="shared" si="23"/>
        <v>-0.35</v>
      </c>
      <c r="AQ42">
        <f t="shared" si="24"/>
        <v>-0.35</v>
      </c>
      <c r="AR42">
        <v>1.4999999999999998</v>
      </c>
      <c r="AT42">
        <v>0.65</v>
      </c>
      <c r="AU42">
        <f t="shared" si="30"/>
        <v>0.58906250000000004</v>
      </c>
      <c r="AV42">
        <f t="shared" si="31"/>
        <v>0.58500000000000008</v>
      </c>
      <c r="AW42">
        <f t="shared" si="32"/>
        <v>0.5803571428571429</v>
      </c>
      <c r="AX42">
        <f t="shared" si="33"/>
        <v>0.57499999999999996</v>
      </c>
      <c r="AY42">
        <f t="shared" si="34"/>
        <v>0.56874999999999998</v>
      </c>
      <c r="AZ42">
        <f t="shared" si="35"/>
        <v>0.5613636363636364</v>
      </c>
      <c r="BA42">
        <f t="shared" si="36"/>
        <v>0.5525000000000001</v>
      </c>
      <c r="BB42">
        <f t="shared" si="37"/>
        <v>0.54166666666666674</v>
      </c>
      <c r="BC42">
        <f t="shared" si="38"/>
        <v>0.52812500000000007</v>
      </c>
      <c r="BD42">
        <f t="shared" si="39"/>
        <v>0.51071428571428579</v>
      </c>
      <c r="BE42">
        <f t="shared" si="40"/>
        <v>0.48750000000000004</v>
      </c>
      <c r="BF42">
        <f t="shared" si="41"/>
        <v>0.45500000000000007</v>
      </c>
      <c r="BG42">
        <f t="shared" si="42"/>
        <v>0.40625</v>
      </c>
      <c r="BH42">
        <f t="shared" si="43"/>
        <v>0.32500000000000001</v>
      </c>
      <c r="BI42">
        <f t="shared" si="44"/>
        <v>0.16250000000000009</v>
      </c>
      <c r="BJ42">
        <f t="shared" si="45"/>
        <v>0</v>
      </c>
      <c r="BK42">
        <f t="shared" si="46"/>
        <v>0</v>
      </c>
      <c r="BM42">
        <v>65</v>
      </c>
      <c r="BN42">
        <v>0.65</v>
      </c>
      <c r="BO42">
        <f t="shared" si="47"/>
        <v>-0.62187500000000007</v>
      </c>
      <c r="BP42">
        <f t="shared" si="26"/>
        <v>-0.62000000000000011</v>
      </c>
      <c r="BQ42">
        <f t="shared" si="26"/>
        <v>-0.61785714285714288</v>
      </c>
      <c r="BR42">
        <f t="shared" si="26"/>
        <v>-0.61538461538461531</v>
      </c>
      <c r="BS42">
        <f t="shared" si="26"/>
        <v>-0.61249999999999993</v>
      </c>
      <c r="BT42">
        <f t="shared" si="26"/>
        <v>-0.60909090909090913</v>
      </c>
      <c r="BU42">
        <f t="shared" si="26"/>
        <v>-0.60500000000000009</v>
      </c>
      <c r="BV42">
        <f t="shared" si="26"/>
        <v>-0.60000000000000009</v>
      </c>
      <c r="BW42">
        <f t="shared" si="26"/>
        <v>-0.59375</v>
      </c>
      <c r="BX42">
        <f t="shared" si="26"/>
        <v>-0.58571428571428574</v>
      </c>
      <c r="BY42">
        <f t="shared" si="26"/>
        <v>-0.57500000000000007</v>
      </c>
      <c r="BZ42">
        <f t="shared" si="26"/>
        <v>-0.56000000000000005</v>
      </c>
      <c r="CA42">
        <f t="shared" si="26"/>
        <v>-0.53749999999999998</v>
      </c>
      <c r="CB42">
        <f t="shared" si="26"/>
        <v>-0.5</v>
      </c>
      <c r="CC42">
        <f t="shared" si="26"/>
        <v>-0.42500000000000004</v>
      </c>
      <c r="CD42">
        <f t="shared" si="26"/>
        <v>-0.35</v>
      </c>
      <c r="CE42">
        <f t="shared" si="26"/>
        <v>-0.35</v>
      </c>
    </row>
    <row r="43" spans="1:83" x14ac:dyDescent="0.25">
      <c r="A43">
        <v>0.7</v>
      </c>
      <c r="B43">
        <f t="shared" si="27"/>
        <v>0.30000000000000004</v>
      </c>
      <c r="C43">
        <f t="shared" si="28"/>
        <v>0.30000000000000004</v>
      </c>
      <c r="D43">
        <f t="shared" si="6"/>
        <v>1.2857142857142858</v>
      </c>
      <c r="E43">
        <v>70</v>
      </c>
      <c r="F43">
        <f t="shared" si="48"/>
        <v>8.0357142857142863E-2</v>
      </c>
      <c r="G43">
        <f t="shared" si="7"/>
        <v>8.5714285714285715E-2</v>
      </c>
      <c r="H43">
        <f t="shared" si="7"/>
        <v>9.1836734693877556E-2</v>
      </c>
      <c r="I43">
        <f t="shared" si="7"/>
        <v>9.8901098901098911E-2</v>
      </c>
      <c r="J43">
        <f t="shared" si="7"/>
        <v>0.10714285714285715</v>
      </c>
      <c r="K43">
        <f t="shared" si="7"/>
        <v>0.11688311688311689</v>
      </c>
      <c r="L43">
        <f t="shared" si="7"/>
        <v>0.12857142857142859</v>
      </c>
      <c r="M43">
        <f t="shared" si="7"/>
        <v>0.14285714285714288</v>
      </c>
      <c r="N43">
        <f t="shared" si="7"/>
        <v>0.16071428571428573</v>
      </c>
      <c r="O43">
        <f t="shared" si="7"/>
        <v>0.18367346938775511</v>
      </c>
      <c r="P43">
        <f t="shared" si="7"/>
        <v>0.2142857142857143</v>
      </c>
      <c r="Q43">
        <f t="shared" si="7"/>
        <v>0.25714285714285717</v>
      </c>
      <c r="R43">
        <f t="shared" si="7"/>
        <v>0.32142857142857145</v>
      </c>
      <c r="S43">
        <f t="shared" si="7"/>
        <v>0.4285714285714286</v>
      </c>
      <c r="T43">
        <f t="shared" si="7"/>
        <v>0.6428571428571429</v>
      </c>
      <c r="U43">
        <f t="shared" si="7"/>
        <v>1</v>
      </c>
      <c r="V43">
        <f t="shared" si="7"/>
        <v>1</v>
      </c>
      <c r="Y43">
        <v>70</v>
      </c>
      <c r="Z43">
        <f t="shared" si="29"/>
        <v>-0.30000000000000004</v>
      </c>
      <c r="AA43">
        <f t="shared" si="8"/>
        <v>-2.4107142857142862E-2</v>
      </c>
      <c r="AB43">
        <f t="shared" si="9"/>
        <v>-2.5714285714285717E-2</v>
      </c>
      <c r="AC43">
        <f t="shared" si="10"/>
        <v>-2.755102040816327E-2</v>
      </c>
      <c r="AD43">
        <f t="shared" si="11"/>
        <v>-2.9670329670329676E-2</v>
      </c>
      <c r="AE43">
        <f t="shared" si="12"/>
        <v>-3.2142857142857147E-2</v>
      </c>
      <c r="AF43">
        <f t="shared" si="13"/>
        <v>-3.5064935064935077E-2</v>
      </c>
      <c r="AG43">
        <f t="shared" si="14"/>
        <v>-3.8571428571428583E-2</v>
      </c>
      <c r="AH43">
        <f t="shared" si="15"/>
        <v>-4.2857142857142871E-2</v>
      </c>
      <c r="AI43">
        <f t="shared" si="16"/>
        <v>-4.8214285714285723E-2</v>
      </c>
      <c r="AJ43">
        <f t="shared" si="17"/>
        <v>-5.5102040816326539E-2</v>
      </c>
      <c r="AK43">
        <f t="shared" si="18"/>
        <v>-6.4285714285714293E-2</v>
      </c>
      <c r="AL43">
        <f t="shared" si="19"/>
        <v>-7.7142857142857166E-2</v>
      </c>
      <c r="AM43">
        <f t="shared" si="20"/>
        <v>-9.6428571428571447E-2</v>
      </c>
      <c r="AN43">
        <f t="shared" si="21"/>
        <v>-0.12857142857142859</v>
      </c>
      <c r="AO43">
        <f t="shared" si="22"/>
        <v>-0.19285714285714289</v>
      </c>
      <c r="AP43">
        <f t="shared" si="23"/>
        <v>-0.30000000000000004</v>
      </c>
      <c r="AQ43">
        <f t="shared" si="24"/>
        <v>-0.30000000000000004</v>
      </c>
      <c r="AR43">
        <v>1.2857142857142858</v>
      </c>
      <c r="AT43">
        <v>0.7</v>
      </c>
      <c r="AU43">
        <f t="shared" si="30"/>
        <v>0.64374999999999993</v>
      </c>
      <c r="AV43">
        <f t="shared" si="31"/>
        <v>0.6399999999999999</v>
      </c>
      <c r="AW43">
        <f t="shared" si="32"/>
        <v>0.63571428571428568</v>
      </c>
      <c r="AX43">
        <f t="shared" si="33"/>
        <v>0.63076923076923075</v>
      </c>
      <c r="AY43">
        <f t="shared" si="34"/>
        <v>0.62499999999999989</v>
      </c>
      <c r="AZ43">
        <f t="shared" si="35"/>
        <v>0.61818181818181817</v>
      </c>
      <c r="BA43">
        <f t="shared" si="36"/>
        <v>0.61</v>
      </c>
      <c r="BB43">
        <f t="shared" si="37"/>
        <v>0.6</v>
      </c>
      <c r="BC43">
        <f t="shared" si="38"/>
        <v>0.58750000000000002</v>
      </c>
      <c r="BD43">
        <f t="shared" si="39"/>
        <v>0.5714285714285714</v>
      </c>
      <c r="BE43">
        <f t="shared" si="40"/>
        <v>0.54999999999999993</v>
      </c>
      <c r="BF43">
        <f t="shared" si="41"/>
        <v>0.52</v>
      </c>
      <c r="BG43">
        <f t="shared" si="42"/>
        <v>0.47499999999999998</v>
      </c>
      <c r="BH43">
        <f t="shared" si="43"/>
        <v>0.39999999999999997</v>
      </c>
      <c r="BI43">
        <f t="shared" si="44"/>
        <v>0.24999999999999994</v>
      </c>
      <c r="BJ43">
        <f t="shared" si="45"/>
        <v>0</v>
      </c>
      <c r="BK43">
        <f t="shared" si="46"/>
        <v>0</v>
      </c>
      <c r="BM43">
        <v>70</v>
      </c>
      <c r="BN43">
        <v>0.7</v>
      </c>
      <c r="BO43">
        <f t="shared" si="47"/>
        <v>-0.66785714285714282</v>
      </c>
      <c r="BP43">
        <f t="shared" si="26"/>
        <v>-0.66571428571428559</v>
      </c>
      <c r="BQ43">
        <f t="shared" si="26"/>
        <v>-0.66326530612244894</v>
      </c>
      <c r="BR43">
        <f t="shared" si="26"/>
        <v>-0.66043956043956042</v>
      </c>
      <c r="BS43">
        <f t="shared" si="26"/>
        <v>-0.65714285714285703</v>
      </c>
      <c r="BT43">
        <f t="shared" si="26"/>
        <v>-0.65324675324675319</v>
      </c>
      <c r="BU43">
        <f t="shared" si="26"/>
        <v>-0.64857142857142858</v>
      </c>
      <c r="BV43">
        <f t="shared" si="26"/>
        <v>-0.64285714285714279</v>
      </c>
      <c r="BW43">
        <f t="shared" si="26"/>
        <v>-0.63571428571428579</v>
      </c>
      <c r="BX43">
        <f t="shared" si="26"/>
        <v>-0.62653061224489792</v>
      </c>
      <c r="BY43">
        <f t="shared" si="26"/>
        <v>-0.61428571428571421</v>
      </c>
      <c r="BZ43">
        <f t="shared" si="26"/>
        <v>-0.5971428571428572</v>
      </c>
      <c r="CA43">
        <f t="shared" si="26"/>
        <v>-0.5714285714285714</v>
      </c>
      <c r="CB43">
        <f t="shared" si="26"/>
        <v>-0.52857142857142858</v>
      </c>
      <c r="CC43">
        <f t="shared" si="26"/>
        <v>-0.44285714285714284</v>
      </c>
      <c r="CD43">
        <f t="shared" si="26"/>
        <v>-0.30000000000000004</v>
      </c>
      <c r="CE43">
        <f t="shared" si="26"/>
        <v>-0.30000000000000004</v>
      </c>
    </row>
    <row r="44" spans="1:83" x14ac:dyDescent="0.25">
      <c r="A44">
        <v>0.75</v>
      </c>
      <c r="B44">
        <f t="shared" si="27"/>
        <v>0.25</v>
      </c>
      <c r="C44">
        <f t="shared" si="28"/>
        <v>0.25</v>
      </c>
      <c r="D44">
        <f t="shared" si="6"/>
        <v>1.0714285714285714</v>
      </c>
      <c r="E44">
        <v>75</v>
      </c>
      <c r="F44">
        <f t="shared" si="48"/>
        <v>6.6964285714285712E-2</v>
      </c>
      <c r="G44">
        <f t="shared" si="7"/>
        <v>7.1428571428571425E-2</v>
      </c>
      <c r="H44">
        <f t="shared" si="7"/>
        <v>7.6530612244897961E-2</v>
      </c>
      <c r="I44">
        <f t="shared" si="7"/>
        <v>8.2417582417582416E-2</v>
      </c>
      <c r="J44">
        <f t="shared" si="7"/>
        <v>8.9285714285714288E-2</v>
      </c>
      <c r="K44">
        <f t="shared" si="7"/>
        <v>9.7402597402597393E-2</v>
      </c>
      <c r="L44">
        <f t="shared" si="7"/>
        <v>0.10714285714285714</v>
      </c>
      <c r="M44">
        <f t="shared" si="7"/>
        <v>0.11904761904761904</v>
      </c>
      <c r="N44">
        <f t="shared" si="7"/>
        <v>0.13392857142857142</v>
      </c>
      <c r="O44">
        <f t="shared" si="7"/>
        <v>0.15306122448979592</v>
      </c>
      <c r="P44">
        <f t="shared" si="7"/>
        <v>0.17857142857142858</v>
      </c>
      <c r="Q44">
        <f t="shared" si="7"/>
        <v>0.21428571428571427</v>
      </c>
      <c r="R44">
        <f t="shared" si="7"/>
        <v>0.26785714285714285</v>
      </c>
      <c r="S44">
        <f t="shared" si="7"/>
        <v>0.35714285714285715</v>
      </c>
      <c r="T44">
        <f t="shared" si="7"/>
        <v>0.5357142857142857</v>
      </c>
      <c r="U44">
        <f t="shared" si="7"/>
        <v>1</v>
      </c>
      <c r="V44">
        <f t="shared" si="7"/>
        <v>1</v>
      </c>
      <c r="Y44">
        <v>75</v>
      </c>
      <c r="Z44">
        <f t="shared" si="29"/>
        <v>-0.25</v>
      </c>
      <c r="AA44">
        <f t="shared" si="8"/>
        <v>-1.6741071428571428E-2</v>
      </c>
      <c r="AB44">
        <f t="shared" si="9"/>
        <v>-1.7857142857142856E-2</v>
      </c>
      <c r="AC44">
        <f t="shared" si="10"/>
        <v>-1.913265306122449E-2</v>
      </c>
      <c r="AD44">
        <f t="shared" si="11"/>
        <v>-2.0604395604395604E-2</v>
      </c>
      <c r="AE44">
        <f t="shared" si="12"/>
        <v>-2.2321428571428572E-2</v>
      </c>
      <c r="AF44">
        <f t="shared" si="13"/>
        <v>-2.4350649350649348E-2</v>
      </c>
      <c r="AG44">
        <f t="shared" si="14"/>
        <v>-2.6785714285714284E-2</v>
      </c>
      <c r="AH44">
        <f t="shared" si="15"/>
        <v>-2.976190476190476E-2</v>
      </c>
      <c r="AI44">
        <f t="shared" si="16"/>
        <v>-3.3482142857142856E-2</v>
      </c>
      <c r="AJ44">
        <f t="shared" si="17"/>
        <v>-3.826530612244898E-2</v>
      </c>
      <c r="AK44">
        <f t="shared" si="18"/>
        <v>-4.4642857142857144E-2</v>
      </c>
      <c r="AL44">
        <f t="shared" si="19"/>
        <v>-5.3571428571428568E-2</v>
      </c>
      <c r="AM44">
        <f t="shared" si="20"/>
        <v>-6.6964285714285712E-2</v>
      </c>
      <c r="AN44">
        <f t="shared" si="21"/>
        <v>-8.9285714285714288E-2</v>
      </c>
      <c r="AO44">
        <f t="shared" si="22"/>
        <v>-0.13392857142857142</v>
      </c>
      <c r="AP44">
        <f t="shared" si="23"/>
        <v>-0.25</v>
      </c>
      <c r="AQ44">
        <f t="shared" si="24"/>
        <v>-0.25</v>
      </c>
      <c r="AR44">
        <v>1.0714285714285714</v>
      </c>
      <c r="AT44">
        <v>0.75</v>
      </c>
      <c r="AU44">
        <f t="shared" si="30"/>
        <v>0.6997767857142857</v>
      </c>
      <c r="AV44">
        <f t="shared" si="31"/>
        <v>0.6964285714285714</v>
      </c>
      <c r="AW44">
        <f t="shared" si="32"/>
        <v>0.69260204081632648</v>
      </c>
      <c r="AX44">
        <f t="shared" si="33"/>
        <v>0.68818681318681318</v>
      </c>
      <c r="AY44">
        <f t="shared" si="34"/>
        <v>0.6830357142857143</v>
      </c>
      <c r="AZ44">
        <f t="shared" si="35"/>
        <v>0.67694805194805197</v>
      </c>
      <c r="BA44">
        <f t="shared" si="36"/>
        <v>0.66964285714285721</v>
      </c>
      <c r="BB44">
        <f t="shared" si="37"/>
        <v>0.6607142857142857</v>
      </c>
      <c r="BC44">
        <f t="shared" si="38"/>
        <v>0.6495535714285714</v>
      </c>
      <c r="BD44">
        <f t="shared" si="39"/>
        <v>0.63520408163265296</v>
      </c>
      <c r="BE44">
        <f t="shared" si="40"/>
        <v>0.6160714285714286</v>
      </c>
      <c r="BF44">
        <f t="shared" si="41"/>
        <v>0.5892857142857143</v>
      </c>
      <c r="BG44">
        <f t="shared" si="42"/>
        <v>0.5491071428571429</v>
      </c>
      <c r="BH44">
        <f t="shared" si="43"/>
        <v>0.4821428571428571</v>
      </c>
      <c r="BI44">
        <f t="shared" si="44"/>
        <v>0.3482142857142857</v>
      </c>
      <c r="BJ44">
        <f t="shared" si="45"/>
        <v>0</v>
      </c>
      <c r="BK44">
        <f t="shared" si="46"/>
        <v>0</v>
      </c>
      <c r="BM44">
        <v>75</v>
      </c>
      <c r="BN44">
        <v>0.75</v>
      </c>
      <c r="BO44">
        <f t="shared" si="47"/>
        <v>-0.7165178571428571</v>
      </c>
      <c r="BP44">
        <f t="shared" si="26"/>
        <v>-0.7142857142857143</v>
      </c>
      <c r="BQ44">
        <f t="shared" si="26"/>
        <v>-0.71173469387755095</v>
      </c>
      <c r="BR44">
        <f t="shared" si="26"/>
        <v>-0.70879120879120883</v>
      </c>
      <c r="BS44">
        <f t="shared" si="26"/>
        <v>-0.7053571428571429</v>
      </c>
      <c r="BT44">
        <f t="shared" si="26"/>
        <v>-0.70129870129870131</v>
      </c>
      <c r="BU44">
        <f t="shared" si="26"/>
        <v>-0.69642857142857151</v>
      </c>
      <c r="BV44">
        <f t="shared" si="26"/>
        <v>-0.69047619047619047</v>
      </c>
      <c r="BW44">
        <f t="shared" si="26"/>
        <v>-0.6830357142857143</v>
      </c>
      <c r="BX44">
        <f t="shared" si="26"/>
        <v>-0.6734693877551019</v>
      </c>
      <c r="BY44">
        <f t="shared" si="26"/>
        <v>-0.6607142857142857</v>
      </c>
      <c r="BZ44">
        <f t="shared" si="26"/>
        <v>-0.6428571428571429</v>
      </c>
      <c r="CA44">
        <f t="shared" si="26"/>
        <v>-0.6160714285714286</v>
      </c>
      <c r="CB44">
        <f t="shared" si="26"/>
        <v>-0.5714285714285714</v>
      </c>
      <c r="CC44">
        <f t="shared" si="26"/>
        <v>-0.4821428571428571</v>
      </c>
      <c r="CD44">
        <f t="shared" si="26"/>
        <v>-0.25</v>
      </c>
      <c r="CE44">
        <f t="shared" ref="CE44:CE49" si="49">-BK44+AQ44</f>
        <v>-0.25</v>
      </c>
    </row>
    <row r="45" spans="1:83" x14ac:dyDescent="0.25">
      <c r="A45">
        <v>0.8</v>
      </c>
      <c r="B45">
        <f t="shared" si="27"/>
        <v>0.19999999999999996</v>
      </c>
      <c r="C45">
        <f t="shared" si="28"/>
        <v>0.19999999999999996</v>
      </c>
      <c r="D45">
        <f t="shared" si="6"/>
        <v>0.85714285714285687</v>
      </c>
      <c r="E45">
        <v>80</v>
      </c>
      <c r="F45">
        <f>IF(F$26&gt;$D45,$D45/F$26,1)</f>
        <v>5.3571428571428555E-2</v>
      </c>
      <c r="G45">
        <f t="shared" ref="G45:V49" si="50">IF(G$26&gt;$D45,$D45/G$26,1)</f>
        <v>5.7142857142857127E-2</v>
      </c>
      <c r="H45">
        <f t="shared" si="50"/>
        <v>6.1224489795918345E-2</v>
      </c>
      <c r="I45">
        <f t="shared" si="50"/>
        <v>6.5934065934065908E-2</v>
      </c>
      <c r="J45">
        <f t="shared" si="50"/>
        <v>7.1428571428571411E-2</v>
      </c>
      <c r="K45">
        <f t="shared" si="50"/>
        <v>7.7922077922077893E-2</v>
      </c>
      <c r="L45">
        <f t="shared" si="50"/>
        <v>8.5714285714285687E-2</v>
      </c>
      <c r="M45">
        <f t="shared" si="50"/>
        <v>9.5238095238095205E-2</v>
      </c>
      <c r="N45">
        <f t="shared" si="50"/>
        <v>0.10714285714285711</v>
      </c>
      <c r="O45">
        <f t="shared" si="50"/>
        <v>0.12244897959183669</v>
      </c>
      <c r="P45">
        <f t="shared" si="50"/>
        <v>0.14285714285714282</v>
      </c>
      <c r="Q45">
        <f t="shared" si="50"/>
        <v>0.17142857142857137</v>
      </c>
      <c r="R45">
        <f t="shared" si="50"/>
        <v>0.21428571428571422</v>
      </c>
      <c r="S45">
        <f t="shared" si="50"/>
        <v>0.28571428571428564</v>
      </c>
      <c r="T45">
        <f t="shared" si="50"/>
        <v>0.42857142857142844</v>
      </c>
      <c r="U45">
        <f t="shared" si="50"/>
        <v>0.85714285714285687</v>
      </c>
      <c r="V45">
        <f t="shared" si="50"/>
        <v>1</v>
      </c>
      <c r="Y45">
        <v>80</v>
      </c>
      <c r="Z45">
        <f t="shared" si="29"/>
        <v>-0.19999999999999996</v>
      </c>
      <c r="AA45">
        <f t="shared" si="8"/>
        <v>-1.0714285714285709E-2</v>
      </c>
      <c r="AB45">
        <f t="shared" si="9"/>
        <v>-1.1428571428571423E-2</v>
      </c>
      <c r="AC45">
        <f t="shared" si="10"/>
        <v>-1.2244897959183666E-2</v>
      </c>
      <c r="AD45">
        <f t="shared" si="11"/>
        <v>-1.3186813186813178E-2</v>
      </c>
      <c r="AE45">
        <f t="shared" si="12"/>
        <v>-1.4285714285714278E-2</v>
      </c>
      <c r="AF45">
        <f t="shared" si="13"/>
        <v>-1.5584415584415576E-2</v>
      </c>
      <c r="AG45">
        <f t="shared" si="14"/>
        <v>-1.7142857142857133E-2</v>
      </c>
      <c r="AH45">
        <f t="shared" si="15"/>
        <v>-1.9047619047619035E-2</v>
      </c>
      <c r="AI45">
        <f t="shared" si="16"/>
        <v>-2.1428571428571418E-2</v>
      </c>
      <c r="AJ45">
        <f t="shared" si="17"/>
        <v>-2.4489795918367332E-2</v>
      </c>
      <c r="AK45">
        <f t="shared" si="18"/>
        <v>-2.8571428571428557E-2</v>
      </c>
      <c r="AL45">
        <f t="shared" si="19"/>
        <v>-3.4285714285714267E-2</v>
      </c>
      <c r="AM45">
        <f t="shared" si="20"/>
        <v>-4.2857142857142837E-2</v>
      </c>
      <c r="AN45">
        <f t="shared" si="21"/>
        <v>-5.7142857142857113E-2</v>
      </c>
      <c r="AO45">
        <f t="shared" si="22"/>
        <v>-8.5714285714285673E-2</v>
      </c>
      <c r="AP45">
        <f t="shared" si="23"/>
        <v>-0.17142857142857135</v>
      </c>
      <c r="AQ45">
        <f t="shared" si="24"/>
        <v>-0.19999999999999996</v>
      </c>
      <c r="AR45">
        <v>0.85714285714285687</v>
      </c>
      <c r="AT45">
        <v>0.8</v>
      </c>
      <c r="AU45">
        <f t="shared" si="30"/>
        <v>0.75714285714285712</v>
      </c>
      <c r="AV45">
        <f t="shared" si="31"/>
        <v>0.75428571428571434</v>
      </c>
      <c r="AW45">
        <f t="shared" si="32"/>
        <v>0.75102040816326543</v>
      </c>
      <c r="AX45">
        <f t="shared" si="33"/>
        <v>0.74725274725274726</v>
      </c>
      <c r="AY45">
        <f t="shared" si="34"/>
        <v>0.74285714285714288</v>
      </c>
      <c r="AZ45">
        <f t="shared" si="35"/>
        <v>0.73766233766233769</v>
      </c>
      <c r="BA45">
        <f t="shared" si="36"/>
        <v>0.73142857142857154</v>
      </c>
      <c r="BB45">
        <f t="shared" si="37"/>
        <v>0.7238095238095239</v>
      </c>
      <c r="BC45">
        <f t="shared" si="38"/>
        <v>0.71428571428571441</v>
      </c>
      <c r="BD45">
        <f t="shared" si="39"/>
        <v>0.7020408163265307</v>
      </c>
      <c r="BE45">
        <f t="shared" si="40"/>
        <v>0.68571428571428583</v>
      </c>
      <c r="BF45">
        <f t="shared" si="41"/>
        <v>0.66285714285714292</v>
      </c>
      <c r="BG45">
        <f t="shared" si="42"/>
        <v>0.62857142857142867</v>
      </c>
      <c r="BH45">
        <f t="shared" si="43"/>
        <v>0.57142857142857151</v>
      </c>
      <c r="BI45">
        <f t="shared" si="44"/>
        <v>0.4571428571428573</v>
      </c>
      <c r="BJ45">
        <f t="shared" si="45"/>
        <v>0.1142857142857145</v>
      </c>
      <c r="BK45">
        <f t="shared" si="46"/>
        <v>0</v>
      </c>
      <c r="BM45">
        <v>80</v>
      </c>
      <c r="BN45">
        <v>0.8</v>
      </c>
      <c r="BO45">
        <f t="shared" si="47"/>
        <v>-0.76785714285714279</v>
      </c>
      <c r="BP45">
        <f t="shared" ref="BP45:BP49" si="51">-AV45+AB45</f>
        <v>-0.76571428571428579</v>
      </c>
      <c r="BQ45">
        <f t="shared" ref="BQ45:BQ49" si="52">-AW45+AC45</f>
        <v>-0.76326530612244914</v>
      </c>
      <c r="BR45">
        <f t="shared" ref="BR45:BR49" si="53">-AX45+AD45</f>
        <v>-0.7604395604395604</v>
      </c>
      <c r="BS45">
        <f t="shared" ref="BS45:BS49" si="54">-AY45+AE45</f>
        <v>-0.75714285714285712</v>
      </c>
      <c r="BT45">
        <f t="shared" ref="BT45:BT49" si="55">-AZ45+AF45</f>
        <v>-0.75324675324675328</v>
      </c>
      <c r="BU45">
        <f t="shared" ref="BU45:BU49" si="56">-BA45+AG45</f>
        <v>-0.74857142857142867</v>
      </c>
      <c r="BV45">
        <f t="shared" ref="BV45:BV49" si="57">-BB45+AH45</f>
        <v>-0.74285714285714288</v>
      </c>
      <c r="BW45">
        <f t="shared" ref="BW45:BW49" si="58">-BC45+AI45</f>
        <v>-0.73571428571428588</v>
      </c>
      <c r="BX45">
        <f t="shared" ref="BX45:BX49" si="59">-BD45+AJ45</f>
        <v>-0.72653061224489801</v>
      </c>
      <c r="BY45">
        <f t="shared" ref="BY45:BY49" si="60">-BE45+AK45</f>
        <v>-0.71428571428571441</v>
      </c>
      <c r="BZ45">
        <f t="shared" ref="BZ45:BZ49" si="61">-BF45+AL45</f>
        <v>-0.69714285714285718</v>
      </c>
      <c r="CA45">
        <f t="shared" ref="CA45:CA49" si="62">-BG45+AM45</f>
        <v>-0.67142857142857149</v>
      </c>
      <c r="CB45">
        <f t="shared" ref="CB45:CB49" si="63">-BH45+AN45</f>
        <v>-0.62857142857142867</v>
      </c>
      <c r="CC45">
        <f t="shared" ref="CC45:CC49" si="64">-BI45+AO45</f>
        <v>-0.54285714285714293</v>
      </c>
      <c r="CD45">
        <f t="shared" ref="CD45:CD49" si="65">-BJ45+AP45</f>
        <v>-0.28571428571428586</v>
      </c>
      <c r="CE45">
        <f t="shared" si="49"/>
        <v>-0.19999999999999996</v>
      </c>
    </row>
    <row r="46" spans="1:83" x14ac:dyDescent="0.25">
      <c r="A46">
        <v>0.85</v>
      </c>
      <c r="B46">
        <f t="shared" si="27"/>
        <v>0.15000000000000002</v>
      </c>
      <c r="C46">
        <f t="shared" si="28"/>
        <v>0.15000000000000002</v>
      </c>
      <c r="D46">
        <f>MAX($B46*D$27,0)</f>
        <v>0.6428571428571429</v>
      </c>
      <c r="E46">
        <v>85</v>
      </c>
      <c r="F46">
        <f t="shared" si="48"/>
        <v>4.0178571428571432E-2</v>
      </c>
      <c r="G46">
        <f t="shared" si="50"/>
        <v>4.2857142857142858E-2</v>
      </c>
      <c r="H46">
        <f t="shared" si="50"/>
        <v>4.5918367346938778E-2</v>
      </c>
      <c r="I46">
        <f t="shared" si="50"/>
        <v>4.9450549450549455E-2</v>
      </c>
      <c r="J46">
        <f t="shared" si="50"/>
        <v>5.3571428571428575E-2</v>
      </c>
      <c r="K46">
        <f t="shared" si="50"/>
        <v>5.8441558441558447E-2</v>
      </c>
      <c r="L46">
        <f t="shared" si="50"/>
        <v>6.4285714285714293E-2</v>
      </c>
      <c r="M46">
        <f t="shared" si="50"/>
        <v>7.1428571428571438E-2</v>
      </c>
      <c r="N46">
        <f t="shared" si="50"/>
        <v>8.0357142857142863E-2</v>
      </c>
      <c r="O46">
        <f t="shared" si="50"/>
        <v>9.1836734693877556E-2</v>
      </c>
      <c r="P46">
        <f t="shared" si="50"/>
        <v>0.10714285714285715</v>
      </c>
      <c r="Q46">
        <f t="shared" si="50"/>
        <v>0.12857142857142859</v>
      </c>
      <c r="R46">
        <f t="shared" si="50"/>
        <v>0.16071428571428573</v>
      </c>
      <c r="S46">
        <f t="shared" si="50"/>
        <v>0.2142857142857143</v>
      </c>
      <c r="T46">
        <f t="shared" si="50"/>
        <v>0.32142857142857145</v>
      </c>
      <c r="U46">
        <f t="shared" si="50"/>
        <v>0.6428571428571429</v>
      </c>
      <c r="V46">
        <f t="shared" si="50"/>
        <v>1</v>
      </c>
      <c r="Y46">
        <v>85</v>
      </c>
      <c r="Z46">
        <f t="shared" si="29"/>
        <v>-0.15000000000000002</v>
      </c>
      <c r="AA46">
        <f t="shared" si="8"/>
        <v>-6.0267857142857154E-3</v>
      </c>
      <c r="AB46">
        <f t="shared" si="9"/>
        <v>-6.4285714285714293E-3</v>
      </c>
      <c r="AC46">
        <f t="shared" si="10"/>
        <v>-6.8877551020408174E-3</v>
      </c>
      <c r="AD46">
        <f t="shared" si="11"/>
        <v>-7.417582417582419E-3</v>
      </c>
      <c r="AE46">
        <f t="shared" si="12"/>
        <v>-8.0357142857142867E-3</v>
      </c>
      <c r="AF46">
        <f t="shared" si="13"/>
        <v>-8.7662337662337692E-3</v>
      </c>
      <c r="AG46">
        <f t="shared" si="14"/>
        <v>-9.6428571428571457E-3</v>
      </c>
      <c r="AH46">
        <f t="shared" si="15"/>
        <v>-1.0714285714285718E-2</v>
      </c>
      <c r="AI46">
        <f t="shared" si="16"/>
        <v>-1.2053571428571431E-2</v>
      </c>
      <c r="AJ46">
        <f t="shared" si="17"/>
        <v>-1.3775510204081635E-2</v>
      </c>
      <c r="AK46">
        <f t="shared" si="18"/>
        <v>-1.6071428571428573E-2</v>
      </c>
      <c r="AL46">
        <f t="shared" si="19"/>
        <v>-1.9285714285714291E-2</v>
      </c>
      <c r="AM46">
        <f t="shared" si="20"/>
        <v>-2.4107142857142862E-2</v>
      </c>
      <c r="AN46">
        <f t="shared" si="21"/>
        <v>-3.2142857142857147E-2</v>
      </c>
      <c r="AO46">
        <f t="shared" si="22"/>
        <v>-4.8214285714285723E-2</v>
      </c>
      <c r="AP46">
        <f t="shared" si="23"/>
        <v>-9.6428571428571447E-2</v>
      </c>
      <c r="AQ46">
        <f t="shared" si="24"/>
        <v>-0.15000000000000002</v>
      </c>
      <c r="AR46">
        <v>0.6428571428571429</v>
      </c>
      <c r="AT46">
        <v>0.85</v>
      </c>
      <c r="AU46">
        <f t="shared" si="30"/>
        <v>0.8158482142857143</v>
      </c>
      <c r="AV46">
        <f t="shared" si="31"/>
        <v>0.81357142857142861</v>
      </c>
      <c r="AW46">
        <f t="shared" si="32"/>
        <v>0.81096938775510208</v>
      </c>
      <c r="AX46">
        <f t="shared" si="33"/>
        <v>0.80796703296703287</v>
      </c>
      <c r="AY46">
        <f t="shared" si="34"/>
        <v>0.80446428571428563</v>
      </c>
      <c r="AZ46">
        <f t="shared" si="35"/>
        <v>0.80032467532467533</v>
      </c>
      <c r="BA46">
        <f t="shared" si="36"/>
        <v>0.79535714285714287</v>
      </c>
      <c r="BB46">
        <f t="shared" si="37"/>
        <v>0.78928571428571426</v>
      </c>
      <c r="BC46">
        <f t="shared" si="38"/>
        <v>0.78169642857142851</v>
      </c>
      <c r="BD46">
        <f t="shared" si="39"/>
        <v>0.77193877551020407</v>
      </c>
      <c r="BE46">
        <f t="shared" si="40"/>
        <v>0.7589285714285714</v>
      </c>
      <c r="BF46">
        <f t="shared" si="41"/>
        <v>0.74071428571428566</v>
      </c>
      <c r="BG46">
        <f t="shared" si="42"/>
        <v>0.71339285714285716</v>
      </c>
      <c r="BH46">
        <f t="shared" si="43"/>
        <v>0.66785714285714282</v>
      </c>
      <c r="BI46">
        <f t="shared" si="44"/>
        <v>0.57678571428571435</v>
      </c>
      <c r="BJ46">
        <f t="shared" si="45"/>
        <v>0.30357142857142855</v>
      </c>
      <c r="BK46">
        <f t="shared" si="46"/>
        <v>0</v>
      </c>
      <c r="BM46">
        <v>85</v>
      </c>
      <c r="BN46">
        <v>0.85</v>
      </c>
      <c r="BO46">
        <f t="shared" si="47"/>
        <v>-0.82187500000000002</v>
      </c>
      <c r="BP46">
        <f t="shared" si="51"/>
        <v>-0.82000000000000006</v>
      </c>
      <c r="BQ46">
        <f t="shared" si="52"/>
        <v>-0.81785714285714295</v>
      </c>
      <c r="BR46">
        <f t="shared" si="53"/>
        <v>-0.81538461538461526</v>
      </c>
      <c r="BS46">
        <f t="shared" si="54"/>
        <v>-0.81249999999999989</v>
      </c>
      <c r="BT46">
        <f t="shared" si="55"/>
        <v>-0.80909090909090908</v>
      </c>
      <c r="BU46">
        <f t="shared" si="56"/>
        <v>-0.80500000000000005</v>
      </c>
      <c r="BV46">
        <f t="shared" si="57"/>
        <v>-0.79999999999999993</v>
      </c>
      <c r="BW46">
        <f t="shared" si="58"/>
        <v>-0.79374999999999996</v>
      </c>
      <c r="BX46">
        <f t="shared" si="59"/>
        <v>-0.7857142857142857</v>
      </c>
      <c r="BY46">
        <f t="shared" si="60"/>
        <v>-0.77500000000000002</v>
      </c>
      <c r="BZ46">
        <f t="shared" si="61"/>
        <v>-0.7599999999999999</v>
      </c>
      <c r="CA46">
        <f t="shared" si="62"/>
        <v>-0.73750000000000004</v>
      </c>
      <c r="CB46">
        <f t="shared" si="63"/>
        <v>-0.7</v>
      </c>
      <c r="CC46">
        <f t="shared" si="64"/>
        <v>-0.62500000000000011</v>
      </c>
      <c r="CD46">
        <f t="shared" si="65"/>
        <v>-0.4</v>
      </c>
      <c r="CE46">
        <f t="shared" si="49"/>
        <v>-0.15000000000000002</v>
      </c>
    </row>
    <row r="47" spans="1:83" x14ac:dyDescent="0.25">
      <c r="A47">
        <v>0.9</v>
      </c>
      <c r="B47">
        <f t="shared" si="27"/>
        <v>9.9999999999999978E-2</v>
      </c>
      <c r="C47">
        <f t="shared" si="28"/>
        <v>9.9999999999999978E-2</v>
      </c>
      <c r="D47">
        <f t="shared" ref="D47:D49" si="66">MAX($B47*D$27,0)</f>
        <v>0.42857142857142844</v>
      </c>
      <c r="E47">
        <v>90</v>
      </c>
      <c r="F47">
        <f t="shared" si="48"/>
        <v>2.6785714285714277E-2</v>
      </c>
      <c r="G47">
        <f t="shared" si="50"/>
        <v>2.8571428571428564E-2</v>
      </c>
      <c r="H47">
        <f t="shared" si="50"/>
        <v>3.0612244897959173E-2</v>
      </c>
      <c r="I47">
        <f t="shared" si="50"/>
        <v>3.2967032967032954E-2</v>
      </c>
      <c r="J47">
        <f t="shared" si="50"/>
        <v>3.5714285714285705E-2</v>
      </c>
      <c r="K47">
        <f t="shared" si="50"/>
        <v>3.8961038961038946E-2</v>
      </c>
      <c r="L47">
        <f t="shared" si="50"/>
        <v>4.2857142857142844E-2</v>
      </c>
      <c r="M47">
        <f t="shared" si="50"/>
        <v>4.7619047619047603E-2</v>
      </c>
      <c r="N47">
        <f t="shared" si="50"/>
        <v>5.3571428571428555E-2</v>
      </c>
      <c r="O47">
        <f t="shared" si="50"/>
        <v>6.1224489795918345E-2</v>
      </c>
      <c r="P47">
        <f t="shared" si="50"/>
        <v>7.1428571428571411E-2</v>
      </c>
      <c r="Q47">
        <f t="shared" si="50"/>
        <v>8.5714285714285687E-2</v>
      </c>
      <c r="R47">
        <f t="shared" si="50"/>
        <v>0.10714285714285711</v>
      </c>
      <c r="S47">
        <f t="shared" si="50"/>
        <v>0.14285714285714282</v>
      </c>
      <c r="T47">
        <f t="shared" si="50"/>
        <v>0.21428571428571422</v>
      </c>
      <c r="U47">
        <f t="shared" si="50"/>
        <v>0.42857142857142844</v>
      </c>
      <c r="V47">
        <f t="shared" si="50"/>
        <v>1</v>
      </c>
      <c r="Y47">
        <v>90</v>
      </c>
      <c r="Z47">
        <f t="shared" si="29"/>
        <v>-9.9999999999999978E-2</v>
      </c>
      <c r="AA47">
        <f t="shared" si="8"/>
        <v>-2.6785714285714273E-3</v>
      </c>
      <c r="AB47">
        <f t="shared" si="9"/>
        <v>-2.8571428571428558E-3</v>
      </c>
      <c r="AC47">
        <f t="shared" si="10"/>
        <v>-3.0612244897959165E-3</v>
      </c>
      <c r="AD47">
        <f t="shared" si="11"/>
        <v>-3.2967032967032945E-3</v>
      </c>
      <c r="AE47">
        <f t="shared" si="12"/>
        <v>-3.5714285714285696E-3</v>
      </c>
      <c r="AF47">
        <f t="shared" si="13"/>
        <v>-3.8961038961038939E-3</v>
      </c>
      <c r="AG47">
        <f t="shared" si="14"/>
        <v>-4.2857142857142833E-3</v>
      </c>
      <c r="AH47">
        <f t="shared" si="15"/>
        <v>-4.7619047619047589E-3</v>
      </c>
      <c r="AI47">
        <f t="shared" si="16"/>
        <v>-5.3571428571428546E-3</v>
      </c>
      <c r="AJ47">
        <f t="shared" si="17"/>
        <v>-6.122448979591833E-3</v>
      </c>
      <c r="AK47">
        <f t="shared" si="18"/>
        <v>-7.1428571428571392E-3</v>
      </c>
      <c r="AL47">
        <f t="shared" si="19"/>
        <v>-8.5714285714285667E-3</v>
      </c>
      <c r="AM47">
        <f t="shared" si="20"/>
        <v>-1.0714285714285709E-2</v>
      </c>
      <c r="AN47">
        <f t="shared" si="21"/>
        <v>-1.4285714285714278E-2</v>
      </c>
      <c r="AO47">
        <f t="shared" si="22"/>
        <v>-2.1428571428571418E-2</v>
      </c>
      <c r="AP47">
        <f t="shared" si="23"/>
        <v>-4.2857142857142837E-2</v>
      </c>
      <c r="AQ47">
        <f t="shared" si="24"/>
        <v>-9.9999999999999978E-2</v>
      </c>
      <c r="AR47">
        <v>0.42857142857142844</v>
      </c>
      <c r="AT47">
        <v>0.9</v>
      </c>
      <c r="AU47">
        <f t="shared" si="30"/>
        <v>0.87589285714285714</v>
      </c>
      <c r="AV47">
        <f t="shared" si="31"/>
        <v>0.87428571428571433</v>
      </c>
      <c r="AW47">
        <f t="shared" si="32"/>
        <v>0.87244897959183676</v>
      </c>
      <c r="AX47">
        <f t="shared" si="33"/>
        <v>0.87032967032967035</v>
      </c>
      <c r="AY47">
        <f t="shared" si="34"/>
        <v>0.86785714285714288</v>
      </c>
      <c r="AZ47">
        <f t="shared" si="35"/>
        <v>0.86493506493506489</v>
      </c>
      <c r="BA47">
        <f t="shared" si="36"/>
        <v>0.86142857142857143</v>
      </c>
      <c r="BB47">
        <f t="shared" si="37"/>
        <v>0.85714285714285721</v>
      </c>
      <c r="BC47">
        <f t="shared" si="38"/>
        <v>0.85178571428571426</v>
      </c>
      <c r="BD47">
        <f t="shared" si="39"/>
        <v>0.8448979591836735</v>
      </c>
      <c r="BE47">
        <f t="shared" si="40"/>
        <v>0.83571428571428574</v>
      </c>
      <c r="BF47">
        <f t="shared" si="41"/>
        <v>0.82285714285714295</v>
      </c>
      <c r="BG47">
        <f t="shared" si="42"/>
        <v>0.8035714285714286</v>
      </c>
      <c r="BH47">
        <f t="shared" si="43"/>
        <v>0.77142857142857146</v>
      </c>
      <c r="BI47">
        <f t="shared" si="44"/>
        <v>0.7071428571428573</v>
      </c>
      <c r="BJ47">
        <f t="shared" si="45"/>
        <v>0.51428571428571446</v>
      </c>
      <c r="BK47">
        <f t="shared" si="46"/>
        <v>0</v>
      </c>
      <c r="BM47">
        <v>90</v>
      </c>
      <c r="BN47">
        <v>0.9</v>
      </c>
      <c r="BO47">
        <f t="shared" si="47"/>
        <v>-0.87857142857142856</v>
      </c>
      <c r="BP47">
        <f t="shared" si="51"/>
        <v>-0.87714285714285722</v>
      </c>
      <c r="BQ47">
        <f t="shared" si="52"/>
        <v>-0.87551020408163271</v>
      </c>
      <c r="BR47">
        <f t="shared" si="53"/>
        <v>-0.87362637362637363</v>
      </c>
      <c r="BS47">
        <f t="shared" si="54"/>
        <v>-0.87142857142857144</v>
      </c>
      <c r="BT47">
        <f t="shared" si="55"/>
        <v>-0.86883116883116873</v>
      </c>
      <c r="BU47">
        <f t="shared" si="56"/>
        <v>-0.86571428571428577</v>
      </c>
      <c r="BV47">
        <f t="shared" si="57"/>
        <v>-0.86190476190476195</v>
      </c>
      <c r="BW47">
        <f t="shared" si="58"/>
        <v>-0.8571428571428571</v>
      </c>
      <c r="BX47">
        <f t="shared" si="59"/>
        <v>-0.8510204081632653</v>
      </c>
      <c r="BY47">
        <f t="shared" si="60"/>
        <v>-0.84285714285714286</v>
      </c>
      <c r="BZ47">
        <f t="shared" si="61"/>
        <v>-0.83142857142857152</v>
      </c>
      <c r="CA47">
        <f t="shared" si="62"/>
        <v>-0.81428571428571428</v>
      </c>
      <c r="CB47">
        <f t="shared" si="63"/>
        <v>-0.7857142857142857</v>
      </c>
      <c r="CC47">
        <f t="shared" si="64"/>
        <v>-0.72857142857142876</v>
      </c>
      <c r="CD47">
        <f t="shared" si="65"/>
        <v>-0.55714285714285727</v>
      </c>
      <c r="CE47">
        <f t="shared" si="49"/>
        <v>-9.9999999999999978E-2</v>
      </c>
    </row>
    <row r="48" spans="1:83" x14ac:dyDescent="0.25">
      <c r="A48">
        <v>0.95</v>
      </c>
      <c r="B48">
        <f t="shared" si="27"/>
        <v>5.0000000000000044E-2</v>
      </c>
      <c r="C48">
        <f t="shared" si="28"/>
        <v>5.0000000000000044E-2</v>
      </c>
      <c r="D48">
        <f t="shared" si="66"/>
        <v>0.21428571428571447</v>
      </c>
      <c r="E48">
        <v>95</v>
      </c>
      <c r="F48">
        <f t="shared" si="48"/>
        <v>1.3392857142857154E-2</v>
      </c>
      <c r="G48">
        <f t="shared" si="50"/>
        <v>1.4285714285714297E-2</v>
      </c>
      <c r="H48">
        <f t="shared" si="50"/>
        <v>1.5306122448979605E-2</v>
      </c>
      <c r="I48">
        <f t="shared" si="50"/>
        <v>1.6483516483516498E-2</v>
      </c>
      <c r="J48">
        <f t="shared" si="50"/>
        <v>1.7857142857142873E-2</v>
      </c>
      <c r="K48">
        <f t="shared" si="50"/>
        <v>1.9480519480519497E-2</v>
      </c>
      <c r="L48">
        <f t="shared" si="50"/>
        <v>2.1428571428571446E-2</v>
      </c>
      <c r="M48">
        <f t="shared" si="50"/>
        <v>2.3809523809523829E-2</v>
      </c>
      <c r="N48">
        <f t="shared" si="50"/>
        <v>2.6785714285714309E-2</v>
      </c>
      <c r="O48">
        <f t="shared" si="50"/>
        <v>3.0612244897959211E-2</v>
      </c>
      <c r="P48">
        <f t="shared" si="50"/>
        <v>3.5714285714285747E-2</v>
      </c>
      <c r="Q48">
        <f t="shared" si="50"/>
        <v>4.2857142857142892E-2</v>
      </c>
      <c r="R48">
        <f t="shared" si="50"/>
        <v>5.3571428571428617E-2</v>
      </c>
      <c r="S48">
        <f t="shared" si="50"/>
        <v>7.1428571428571494E-2</v>
      </c>
      <c r="T48">
        <f t="shared" si="50"/>
        <v>0.10714285714285723</v>
      </c>
      <c r="U48">
        <f t="shared" si="50"/>
        <v>0.21428571428571447</v>
      </c>
      <c r="V48">
        <f t="shared" si="50"/>
        <v>1</v>
      </c>
      <c r="Y48">
        <v>95</v>
      </c>
      <c r="Z48">
        <f t="shared" si="29"/>
        <v>-5.0000000000000044E-2</v>
      </c>
      <c r="AA48">
        <f t="shared" si="8"/>
        <v>-6.6964285714285834E-4</v>
      </c>
      <c r="AB48">
        <f t="shared" si="9"/>
        <v>-7.1428571428571548E-4</v>
      </c>
      <c r="AC48">
        <f t="shared" si="10"/>
        <v>-7.6530612244898096E-4</v>
      </c>
      <c r="AD48">
        <f t="shared" si="11"/>
        <v>-8.2417582417582558E-4</v>
      </c>
      <c r="AE48">
        <f t="shared" si="12"/>
        <v>-8.9285714285714446E-4</v>
      </c>
      <c r="AF48">
        <f t="shared" si="13"/>
        <v>-9.7402597402597576E-4</v>
      </c>
      <c r="AG48">
        <f t="shared" si="14"/>
        <v>-1.0714285714285732E-3</v>
      </c>
      <c r="AH48">
        <f t="shared" si="15"/>
        <v>-1.1904761904761925E-3</v>
      </c>
      <c r="AI48">
        <f t="shared" si="16"/>
        <v>-1.3392857142857167E-3</v>
      </c>
      <c r="AJ48">
        <f t="shared" si="17"/>
        <v>-1.5306122448979619E-3</v>
      </c>
      <c r="AK48">
        <f t="shared" si="18"/>
        <v>-1.7857142857142889E-3</v>
      </c>
      <c r="AL48">
        <f t="shared" si="19"/>
        <v>-2.1428571428571464E-3</v>
      </c>
      <c r="AM48">
        <f t="shared" si="20"/>
        <v>-2.6785714285714334E-3</v>
      </c>
      <c r="AN48">
        <f t="shared" si="21"/>
        <v>-3.5714285714285778E-3</v>
      </c>
      <c r="AO48">
        <f t="shared" si="22"/>
        <v>-5.3571428571428667E-3</v>
      </c>
      <c r="AP48">
        <f t="shared" si="23"/>
        <v>-1.0714285714285733E-2</v>
      </c>
      <c r="AQ48">
        <f t="shared" si="24"/>
        <v>-5.0000000000000044E-2</v>
      </c>
      <c r="AR48">
        <v>0.21428571428571447</v>
      </c>
      <c r="AT48">
        <v>0.95</v>
      </c>
      <c r="AU48">
        <f t="shared" si="30"/>
        <v>0.93727678571428563</v>
      </c>
      <c r="AV48">
        <f t="shared" si="31"/>
        <v>0.93642857142857128</v>
      </c>
      <c r="AW48">
        <f t="shared" si="32"/>
        <v>0.93545918367346936</v>
      </c>
      <c r="AX48">
        <f t="shared" si="33"/>
        <v>0.93434065934065924</v>
      </c>
      <c r="AY48">
        <f t="shared" si="34"/>
        <v>0.93303571428571419</v>
      </c>
      <c r="AZ48">
        <f t="shared" si="35"/>
        <v>0.93149350649350637</v>
      </c>
      <c r="BA48">
        <f t="shared" si="36"/>
        <v>0.9296428571428571</v>
      </c>
      <c r="BB48">
        <f t="shared" si="37"/>
        <v>0.92738095238095231</v>
      </c>
      <c r="BC48">
        <f t="shared" si="38"/>
        <v>0.92455357142857142</v>
      </c>
      <c r="BD48">
        <f t="shared" si="39"/>
        <v>0.92091836734693866</v>
      </c>
      <c r="BE48">
        <f t="shared" si="40"/>
        <v>0.91607142857142854</v>
      </c>
      <c r="BF48">
        <f t="shared" si="41"/>
        <v>0.90928571428571414</v>
      </c>
      <c r="BG48">
        <f t="shared" si="42"/>
        <v>0.89910714285714277</v>
      </c>
      <c r="BH48">
        <f t="shared" si="43"/>
        <v>0.88214285714285701</v>
      </c>
      <c r="BI48">
        <f t="shared" si="44"/>
        <v>0.84821428571428559</v>
      </c>
      <c r="BJ48">
        <f t="shared" si="45"/>
        <v>0.74642857142857122</v>
      </c>
      <c r="BK48">
        <f t="shared" si="46"/>
        <v>0</v>
      </c>
      <c r="BM48">
        <v>95</v>
      </c>
      <c r="BN48">
        <v>0.95</v>
      </c>
      <c r="BO48">
        <f t="shared" si="47"/>
        <v>-0.93794642857142851</v>
      </c>
      <c r="BP48">
        <f t="shared" si="51"/>
        <v>-0.93714285714285694</v>
      </c>
      <c r="BQ48">
        <f t="shared" si="52"/>
        <v>-0.93622448979591832</v>
      </c>
      <c r="BR48">
        <f t="shared" si="53"/>
        <v>-0.93516483516483506</v>
      </c>
      <c r="BS48">
        <f t="shared" si="54"/>
        <v>-0.93392857142857133</v>
      </c>
      <c r="BT48">
        <f t="shared" si="55"/>
        <v>-0.93246753246753233</v>
      </c>
      <c r="BU48">
        <f t="shared" si="56"/>
        <v>-0.93071428571428572</v>
      </c>
      <c r="BV48">
        <f t="shared" si="57"/>
        <v>-0.92857142857142849</v>
      </c>
      <c r="BW48">
        <f t="shared" si="58"/>
        <v>-0.92589285714285718</v>
      </c>
      <c r="BX48">
        <f t="shared" si="59"/>
        <v>-0.92244897959183658</v>
      </c>
      <c r="BY48">
        <f t="shared" si="60"/>
        <v>-0.91785714285714282</v>
      </c>
      <c r="BZ48">
        <f t="shared" si="61"/>
        <v>-0.91142857142857125</v>
      </c>
      <c r="CA48">
        <f t="shared" si="62"/>
        <v>-0.90178571428571419</v>
      </c>
      <c r="CB48">
        <f t="shared" si="63"/>
        <v>-0.88571428571428557</v>
      </c>
      <c r="CC48">
        <f t="shared" si="64"/>
        <v>-0.85357142857142843</v>
      </c>
      <c r="CD48">
        <f t="shared" si="65"/>
        <v>-0.75714285714285701</v>
      </c>
      <c r="CE48">
        <f t="shared" si="49"/>
        <v>-5.0000000000000044E-2</v>
      </c>
    </row>
    <row r="49" spans="1:83" x14ac:dyDescent="0.25">
      <c r="A49">
        <v>1</v>
      </c>
      <c r="B49">
        <f t="shared" si="27"/>
        <v>0</v>
      </c>
      <c r="C49">
        <f t="shared" si="28"/>
        <v>0</v>
      </c>
      <c r="D49">
        <f t="shared" si="66"/>
        <v>0</v>
      </c>
      <c r="E49">
        <v>100</v>
      </c>
      <c r="F49">
        <f t="shared" si="48"/>
        <v>0</v>
      </c>
      <c r="G49">
        <f t="shared" si="50"/>
        <v>0</v>
      </c>
      <c r="H49">
        <f t="shared" si="50"/>
        <v>0</v>
      </c>
      <c r="I49">
        <f t="shared" si="50"/>
        <v>0</v>
      </c>
      <c r="J49">
        <f t="shared" si="50"/>
        <v>0</v>
      </c>
      <c r="K49">
        <f t="shared" si="50"/>
        <v>0</v>
      </c>
      <c r="L49">
        <f t="shared" si="50"/>
        <v>0</v>
      </c>
      <c r="M49">
        <f t="shared" si="50"/>
        <v>0</v>
      </c>
      <c r="N49">
        <f t="shared" si="50"/>
        <v>0</v>
      </c>
      <c r="O49">
        <f t="shared" si="50"/>
        <v>0</v>
      </c>
      <c r="P49">
        <f t="shared" si="50"/>
        <v>0</v>
      </c>
      <c r="Q49">
        <f t="shared" si="50"/>
        <v>0</v>
      </c>
      <c r="R49">
        <f t="shared" si="50"/>
        <v>0</v>
      </c>
      <c r="S49">
        <f t="shared" si="50"/>
        <v>0</v>
      </c>
      <c r="T49">
        <f t="shared" si="50"/>
        <v>0</v>
      </c>
      <c r="U49">
        <f t="shared" si="50"/>
        <v>0</v>
      </c>
      <c r="V49">
        <f>IF(V$26&gt;$D49,$D49/V$26,1)</f>
        <v>1</v>
      </c>
      <c r="Y49">
        <v>100</v>
      </c>
      <c r="Z49">
        <f t="shared" si="29"/>
        <v>0</v>
      </c>
      <c r="AA49">
        <f t="shared" si="8"/>
        <v>0</v>
      </c>
      <c r="AB49">
        <f t="shared" si="9"/>
        <v>0</v>
      </c>
      <c r="AC49">
        <f t="shared" si="10"/>
        <v>0</v>
      </c>
      <c r="AD49">
        <f t="shared" si="11"/>
        <v>0</v>
      </c>
      <c r="AE49">
        <f t="shared" si="12"/>
        <v>0</v>
      </c>
      <c r="AF49">
        <f t="shared" si="13"/>
        <v>0</v>
      </c>
      <c r="AG49">
        <f t="shared" si="14"/>
        <v>0</v>
      </c>
      <c r="AH49">
        <f t="shared" si="15"/>
        <v>0</v>
      </c>
      <c r="AI49">
        <f t="shared" si="16"/>
        <v>0</v>
      </c>
      <c r="AJ49">
        <f t="shared" si="17"/>
        <v>0</v>
      </c>
      <c r="AK49">
        <f t="shared" si="18"/>
        <v>0</v>
      </c>
      <c r="AL49">
        <f t="shared" si="19"/>
        <v>0</v>
      </c>
      <c r="AM49">
        <f t="shared" si="20"/>
        <v>0</v>
      </c>
      <c r="AN49">
        <f t="shared" si="21"/>
        <v>0</v>
      </c>
      <c r="AO49">
        <f t="shared" si="22"/>
        <v>0</v>
      </c>
      <c r="AP49">
        <f t="shared" si="23"/>
        <v>0</v>
      </c>
      <c r="AQ49">
        <f t="shared" si="24"/>
        <v>0</v>
      </c>
      <c r="AR49">
        <v>0</v>
      </c>
      <c r="AT49">
        <v>1</v>
      </c>
      <c r="AU49">
        <f t="shared" si="30"/>
        <v>1</v>
      </c>
      <c r="AV49">
        <f t="shared" si="31"/>
        <v>1</v>
      </c>
      <c r="AW49">
        <f t="shared" si="32"/>
        <v>1</v>
      </c>
      <c r="AX49">
        <f t="shared" si="33"/>
        <v>1</v>
      </c>
      <c r="AY49">
        <f t="shared" si="34"/>
        <v>1</v>
      </c>
      <c r="AZ49">
        <f t="shared" si="35"/>
        <v>1</v>
      </c>
      <c r="BA49">
        <f t="shared" si="36"/>
        <v>1</v>
      </c>
      <c r="BB49">
        <f t="shared" si="37"/>
        <v>1</v>
      </c>
      <c r="BC49">
        <f t="shared" si="38"/>
        <v>1</v>
      </c>
      <c r="BD49">
        <f t="shared" si="39"/>
        <v>1</v>
      </c>
      <c r="BE49">
        <f t="shared" si="40"/>
        <v>1</v>
      </c>
      <c r="BF49">
        <f t="shared" si="41"/>
        <v>1</v>
      </c>
      <c r="BG49">
        <f t="shared" si="42"/>
        <v>1</v>
      </c>
      <c r="BH49">
        <f t="shared" si="43"/>
        <v>1</v>
      </c>
      <c r="BI49">
        <f t="shared" si="44"/>
        <v>1</v>
      </c>
      <c r="BJ49">
        <f t="shared" si="45"/>
        <v>1</v>
      </c>
      <c r="BK49">
        <f>(1-V49)*$AT49</f>
        <v>0</v>
      </c>
      <c r="BM49">
        <v>100</v>
      </c>
      <c r="BN49">
        <v>1</v>
      </c>
      <c r="BO49">
        <f t="shared" si="47"/>
        <v>-1</v>
      </c>
      <c r="BP49">
        <f t="shared" si="51"/>
        <v>-1</v>
      </c>
      <c r="BQ49">
        <f t="shared" si="52"/>
        <v>-1</v>
      </c>
      <c r="BR49">
        <f t="shared" si="53"/>
        <v>-1</v>
      </c>
      <c r="BS49">
        <f t="shared" si="54"/>
        <v>-1</v>
      </c>
      <c r="BT49">
        <f t="shared" si="55"/>
        <v>-1</v>
      </c>
      <c r="BU49">
        <f t="shared" si="56"/>
        <v>-1</v>
      </c>
      <c r="BV49">
        <f t="shared" si="57"/>
        <v>-1</v>
      </c>
      <c r="BW49">
        <f t="shared" si="58"/>
        <v>-1</v>
      </c>
      <c r="BX49">
        <f t="shared" si="59"/>
        <v>-1</v>
      </c>
      <c r="BY49">
        <f t="shared" si="60"/>
        <v>-1</v>
      </c>
      <c r="BZ49">
        <f t="shared" si="61"/>
        <v>-1</v>
      </c>
      <c r="CA49">
        <f t="shared" si="62"/>
        <v>-1</v>
      </c>
      <c r="CB49">
        <f t="shared" si="63"/>
        <v>-1</v>
      </c>
      <c r="CC49">
        <f t="shared" si="64"/>
        <v>-1</v>
      </c>
      <c r="CD49">
        <f t="shared" si="65"/>
        <v>-1</v>
      </c>
      <c r="CE49">
        <f t="shared" si="49"/>
        <v>0</v>
      </c>
    </row>
  </sheetData>
  <mergeCells count="1">
    <mergeCell ref="D2:M2"/>
  </mergeCells>
  <phoneticPr fontId="1" type="noConversion"/>
  <conditionalFormatting sqref="D3:M3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9:E4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9:V4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9:Y4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9:AQ4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9:BL4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29:BM4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N29:BN4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O29:CE4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E339D-7F28-4AA6-9C33-AC20AEE5E411}">
  <dimension ref="B4:M16"/>
  <sheetViews>
    <sheetView workbookViewId="0">
      <selection activeCell="C5" sqref="C5"/>
    </sheetView>
  </sheetViews>
  <sheetFormatPr defaultRowHeight="15" x14ac:dyDescent="0.25"/>
  <sheetData>
    <row r="4" spans="2:13" x14ac:dyDescent="0.25"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  <c r="M4" t="s">
        <v>40</v>
      </c>
    </row>
    <row r="5" spans="2:13" x14ac:dyDescent="0.25">
      <c r="B5">
        <v>16</v>
      </c>
      <c r="C5">
        <v>0.5357142857142857</v>
      </c>
      <c r="D5">
        <v>0.48214285714285721</v>
      </c>
      <c r="E5">
        <v>0.4285714285714286</v>
      </c>
      <c r="F5">
        <v>0.375</v>
      </c>
      <c r="G5">
        <v>0.3214285714285714</v>
      </c>
      <c r="H5">
        <v>0.26785714285714279</v>
      </c>
      <c r="I5">
        <v>0.2142857142857143</v>
      </c>
      <c r="J5">
        <v>0.1607142857142857</v>
      </c>
      <c r="K5">
        <v>0.1071428571428571</v>
      </c>
      <c r="L5">
        <v>5.3571428571428603E-2</v>
      </c>
      <c r="M5">
        <v>0</v>
      </c>
    </row>
    <row r="6" spans="2:13" x14ac:dyDescent="0.25">
      <c r="B6">
        <v>15</v>
      </c>
      <c r="C6">
        <v>0.5714285714285714</v>
      </c>
      <c r="D6">
        <v>0.51428571428571423</v>
      </c>
      <c r="E6">
        <v>0.45714285714285718</v>
      </c>
      <c r="F6">
        <v>0.4</v>
      </c>
      <c r="G6">
        <v>0.34285714285714286</v>
      </c>
      <c r="H6">
        <v>0.2857142857142857</v>
      </c>
      <c r="I6">
        <v>0.22857142857142854</v>
      </c>
      <c r="J6">
        <v>0.17142857142857137</v>
      </c>
      <c r="K6">
        <v>0.11428571428571421</v>
      </c>
      <c r="L6">
        <v>5.7142857142857162E-2</v>
      </c>
      <c r="M6">
        <v>0</v>
      </c>
    </row>
    <row r="7" spans="2:13" x14ac:dyDescent="0.25">
      <c r="B7">
        <v>14</v>
      </c>
      <c r="C7">
        <v>0.61224489795918369</v>
      </c>
      <c r="D7">
        <v>0.55102040816326525</v>
      </c>
      <c r="E7">
        <v>0.48979591836734693</v>
      </c>
      <c r="F7">
        <v>0.4285714285714286</v>
      </c>
      <c r="G7">
        <v>0.36734693877551017</v>
      </c>
      <c r="H7">
        <v>0.30612244897959173</v>
      </c>
      <c r="I7">
        <v>0.24489795918367352</v>
      </c>
      <c r="J7">
        <v>0.18367346938775508</v>
      </c>
      <c r="K7">
        <v>0.12244897959183665</v>
      </c>
      <c r="L7">
        <v>6.1224489795918435E-2</v>
      </c>
      <c r="M7">
        <v>0</v>
      </c>
    </row>
    <row r="8" spans="2:13" x14ac:dyDescent="0.25">
      <c r="B8">
        <v>13</v>
      </c>
      <c r="C8">
        <v>0.65934065934065933</v>
      </c>
      <c r="D8">
        <v>0.59340659340659341</v>
      </c>
      <c r="E8">
        <v>0.52747252747252749</v>
      </c>
      <c r="F8">
        <v>0.46153846153846145</v>
      </c>
      <c r="G8">
        <v>0.39560439560439553</v>
      </c>
      <c r="H8">
        <v>0.32967032967032961</v>
      </c>
      <c r="I8">
        <v>0.2637362637362638</v>
      </c>
      <c r="J8">
        <v>0.19780219780219777</v>
      </c>
      <c r="K8">
        <v>0.13186813186813184</v>
      </c>
      <c r="L8">
        <v>6.5934065934065922E-2</v>
      </c>
      <c r="M8">
        <v>0</v>
      </c>
    </row>
    <row r="9" spans="2:13" x14ac:dyDescent="0.25">
      <c r="B9">
        <v>12</v>
      </c>
      <c r="C9">
        <v>0.71428571428571419</v>
      </c>
      <c r="D9">
        <v>0.64285714285714279</v>
      </c>
      <c r="E9">
        <v>0.5714285714285714</v>
      </c>
      <c r="F9">
        <v>0.49999999999999989</v>
      </c>
      <c r="G9">
        <v>0.42857142857142849</v>
      </c>
      <c r="H9">
        <v>0.3571428571428571</v>
      </c>
      <c r="I9">
        <v>0.2857142857142857</v>
      </c>
      <c r="J9">
        <v>0.2142857142857143</v>
      </c>
      <c r="K9">
        <v>0.14285714285714279</v>
      </c>
      <c r="L9">
        <v>7.1428571428571508E-2</v>
      </c>
      <c r="M9">
        <v>0</v>
      </c>
    </row>
    <row r="10" spans="2:13" x14ac:dyDescent="0.25">
      <c r="B10">
        <v>11</v>
      </c>
      <c r="C10">
        <v>0.77922077922077926</v>
      </c>
      <c r="D10">
        <v>0.70129870129870131</v>
      </c>
      <c r="E10">
        <v>0.62337662337662336</v>
      </c>
      <c r="F10">
        <v>0.54545454545454541</v>
      </c>
      <c r="G10">
        <v>0.46753246753246747</v>
      </c>
      <c r="H10">
        <v>0.38961038961038963</v>
      </c>
      <c r="I10">
        <v>0.31168831168831168</v>
      </c>
      <c r="J10">
        <v>0.23376623376623373</v>
      </c>
      <c r="K10">
        <v>0.15584415584415579</v>
      </c>
      <c r="L10">
        <v>7.7922077922077948E-2</v>
      </c>
      <c r="M10">
        <v>0</v>
      </c>
    </row>
    <row r="11" spans="2:13" x14ac:dyDescent="0.25">
      <c r="B11">
        <v>10</v>
      </c>
      <c r="C11">
        <v>0.8571428571428571</v>
      </c>
      <c r="D11">
        <v>0.77142857142857146</v>
      </c>
      <c r="E11">
        <v>0.68571428571428572</v>
      </c>
      <c r="F11">
        <v>0.59999999999999987</v>
      </c>
      <c r="G11">
        <v>0.51428571428571423</v>
      </c>
      <c r="H11">
        <v>0.4285714285714286</v>
      </c>
      <c r="I11">
        <v>0.34285714285714286</v>
      </c>
      <c r="J11">
        <v>0.25714285714285712</v>
      </c>
      <c r="K11">
        <v>0.17142857142857137</v>
      </c>
      <c r="L11">
        <v>8.5714285714285743E-2</v>
      </c>
      <c r="M11">
        <v>0</v>
      </c>
    </row>
    <row r="12" spans="2:13" x14ac:dyDescent="0.25">
      <c r="B12">
        <v>9</v>
      </c>
      <c r="C12">
        <v>0.95238095238095233</v>
      </c>
      <c r="D12">
        <v>0.85714285714285721</v>
      </c>
      <c r="E12">
        <v>0.76190476190476197</v>
      </c>
      <c r="F12">
        <v>0.66666666666666652</v>
      </c>
      <c r="G12">
        <v>0.5714285714285714</v>
      </c>
      <c r="H12">
        <v>0.47619047619047616</v>
      </c>
      <c r="I12">
        <v>0.38095238095238093</v>
      </c>
      <c r="J12">
        <v>0.2857142857142857</v>
      </c>
      <c r="K12">
        <v>0.19047619047619035</v>
      </c>
      <c r="L12">
        <v>9.5238095238095344E-2</v>
      </c>
      <c r="M12">
        <v>0</v>
      </c>
    </row>
    <row r="13" spans="2:13" x14ac:dyDescent="0.25">
      <c r="B13">
        <v>8</v>
      </c>
      <c r="C13">
        <v>1</v>
      </c>
      <c r="D13">
        <v>0.9642857142857143</v>
      </c>
      <c r="E13">
        <v>0.85714285714285721</v>
      </c>
      <c r="F13">
        <v>0.74999999999999989</v>
      </c>
      <c r="G13">
        <v>0.64285714285714279</v>
      </c>
      <c r="H13">
        <v>0.5357142857142857</v>
      </c>
      <c r="I13">
        <v>0.4285714285714286</v>
      </c>
      <c r="J13">
        <v>0.3214285714285714</v>
      </c>
      <c r="K13">
        <v>0.21428571428571419</v>
      </c>
      <c r="L13">
        <v>0.1071428571428571</v>
      </c>
      <c r="M13">
        <v>0</v>
      </c>
    </row>
    <row r="14" spans="2:13" x14ac:dyDescent="0.25">
      <c r="B14">
        <v>7</v>
      </c>
      <c r="C14">
        <v>1</v>
      </c>
      <c r="D14">
        <v>1</v>
      </c>
      <c r="E14">
        <v>0.97959183673469397</v>
      </c>
      <c r="F14">
        <v>0.85714285714285698</v>
      </c>
      <c r="G14">
        <v>0.73469387755102034</v>
      </c>
      <c r="H14">
        <v>0.61224489795918369</v>
      </c>
      <c r="I14">
        <v>0.48979591836734693</v>
      </c>
      <c r="J14">
        <v>0.36734693877551017</v>
      </c>
      <c r="K14">
        <v>0.24489795918367341</v>
      </c>
      <c r="L14">
        <v>0.12244897959183665</v>
      </c>
      <c r="M14">
        <v>0</v>
      </c>
    </row>
    <row r="15" spans="2:13" x14ac:dyDescent="0.25">
      <c r="B15">
        <v>6</v>
      </c>
      <c r="C15">
        <v>1</v>
      </c>
      <c r="D15">
        <v>1</v>
      </c>
      <c r="E15">
        <v>1</v>
      </c>
      <c r="F15">
        <v>1</v>
      </c>
      <c r="G15">
        <v>0.8571428571428571</v>
      </c>
      <c r="H15">
        <v>0.71428571428571419</v>
      </c>
      <c r="I15">
        <v>0.5714285714285714</v>
      </c>
      <c r="J15">
        <v>0.4285714285714286</v>
      </c>
      <c r="K15">
        <v>0.28571428571428559</v>
      </c>
      <c r="L15">
        <v>0.14285714285714279</v>
      </c>
      <c r="M15">
        <v>0</v>
      </c>
    </row>
    <row r="16" spans="2:13" x14ac:dyDescent="0.25">
      <c r="B16">
        <v>5</v>
      </c>
      <c r="C16">
        <v>1</v>
      </c>
      <c r="D16">
        <v>1</v>
      </c>
      <c r="E16">
        <v>1</v>
      </c>
      <c r="F16">
        <v>1</v>
      </c>
      <c r="G16">
        <v>1</v>
      </c>
      <c r="H16">
        <v>0.8571428571428571</v>
      </c>
      <c r="I16">
        <v>0.68571428571428572</v>
      </c>
      <c r="J16">
        <v>0.51428571428571435</v>
      </c>
      <c r="K16">
        <v>0.34285714285714275</v>
      </c>
      <c r="L16">
        <v>0.17142857142857137</v>
      </c>
      <c r="M16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Yaju Rajbhandari</dc:creator>
  <cp:lastModifiedBy>Yaju Rajbhandari</cp:lastModifiedBy>
  <dcterms:created xsi:type="dcterms:W3CDTF">2026-03-16T15:51:02Z</dcterms:created>
  <dcterms:modified xsi:type="dcterms:W3CDTF">2026-03-23T17:09:32Z</dcterms:modified>
</cp:coreProperties>
</file>